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PATRA\Desktop\"/>
    </mc:Choice>
  </mc:AlternateContent>
  <xr:revisionPtr revIDLastSave="0" documentId="13_ncr:1_{F24C415A-4E05-4A31-92D6-F65A2B119105}" xr6:coauthVersionLast="47" xr6:coauthVersionMax="47" xr10:uidLastSave="{00000000-0000-0000-0000-000000000000}"/>
  <bookViews>
    <workbookView xWindow="-120" yWindow="-120" windowWidth="29040" windowHeight="15840" firstSheet="1" activeTab="5" xr2:uid="{5F780300-D2A3-4368-B347-A162ACFA4832}"/>
  </bookViews>
  <sheets>
    <sheet name="pantalla de bonos" sheetId="1" r:id="rId1"/>
    <sheet name="pantalla de esquemas" sheetId="2" r:id="rId2"/>
    <sheet name="PANTALLA SUMARY" sheetId="4" r:id="rId3"/>
    <sheet name="payroll breakdown" sheetId="6" r:id="rId4"/>
    <sheet name="panatalla prestamos-adelantos" sheetId="5" r:id="rId5"/>
    <sheet name="pantalla de recibos" sheetId="3" r:id="rId6"/>
  </sheets>
  <externalReferences>
    <externalReference r:id="rId7"/>
  </externalReferences>
  <definedNames>
    <definedName name="_xlnm.Print_Area" localSheetId="2">'PANTALLA SUMARY'!$A$3:$U$49</definedName>
    <definedName name="VENDEDORES">'[1]NOMBRES DE VENDEDORES'!#REF!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J2" i="6"/>
  <c r="K2" i="6"/>
  <c r="L2" i="6"/>
  <c r="M2" i="6"/>
  <c r="N2" i="6"/>
  <c r="O2" i="6"/>
  <c r="P2" i="6"/>
  <c r="Q2" i="6"/>
  <c r="R2" i="6"/>
  <c r="I2" i="6" s="1"/>
  <c r="S2" i="6"/>
  <c r="T2" i="6"/>
  <c r="U2" i="6"/>
  <c r="V2" i="6"/>
  <c r="W2" i="6"/>
  <c r="X2" i="6"/>
  <c r="Y2" i="6"/>
  <c r="Z2" i="6"/>
  <c r="AA2" i="6"/>
  <c r="AB2" i="6"/>
  <c r="AC2" i="6"/>
  <c r="AD2" i="6"/>
  <c r="AE2" i="6"/>
  <c r="M31" i="5"/>
  <c r="K31" i="5"/>
  <c r="L12" i="5"/>
  <c r="M12" i="5" s="1"/>
  <c r="L6" i="5"/>
  <c r="M6" i="5" s="1"/>
  <c r="U30" i="1"/>
  <c r="U27" i="1"/>
  <c r="U26" i="1"/>
  <c r="U21" i="1"/>
  <c r="U20" i="1"/>
  <c r="U17" i="1"/>
  <c r="U16" i="1"/>
  <c r="U11" i="1"/>
  <c r="U10" i="1"/>
  <c r="U7" i="1"/>
  <c r="U6" i="1"/>
  <c r="U5" i="1"/>
</calcChain>
</file>

<file path=xl/sharedStrings.xml><?xml version="1.0" encoding="utf-8"?>
<sst xmlns="http://schemas.openxmlformats.org/spreadsheetml/2006/main" count="483" uniqueCount="223">
  <si>
    <t>BONOS</t>
  </si>
  <si>
    <t>MONTO</t>
  </si>
  <si>
    <t>APERTURA</t>
  </si>
  <si>
    <t>HIT</t>
  </si>
  <si>
    <t>FULL HOUSE</t>
  </si>
  <si>
    <t>BLACK JACK</t>
  </si>
  <si>
    <t>BOUNTRY</t>
  </si>
  <si>
    <t>JAQUE MATE</t>
  </si>
  <si>
    <t>LINEA</t>
  </si>
  <si>
    <t>CALL CNTER</t>
  </si>
  <si>
    <t>FACIALISTA</t>
  </si>
  <si>
    <t>META QUINCENAL</t>
  </si>
  <si>
    <t>VIATICOS</t>
  </si>
  <si>
    <t>INSUMOS</t>
  </si>
  <si>
    <t>BONO PERSONAL</t>
  </si>
  <si>
    <t>Columna1</t>
  </si>
  <si>
    <t>los bonos de crean a partir de un listado  ya establecidos y algun bono personal</t>
  </si>
  <si>
    <t>los montos pueden ser editables y el nombre del bono de igual forma</t>
  </si>
  <si>
    <t>Escalas y Tasas de Comisión sobre margen</t>
  </si>
  <si>
    <t>De</t>
  </si>
  <si>
    <t>Hasta</t>
  </si>
  <si>
    <t>Tasa</t>
  </si>
  <si>
    <t>Columna2</t>
  </si>
  <si>
    <t xml:space="preserve"> </t>
  </si>
  <si>
    <t>el esquema puede contener desde 1 solo flat hasta 8 posibles variantes ( lo mas normal son 3 a 4 )</t>
  </si>
  <si>
    <t>lo numeros lado izq se refieren al numero de esquema para x Vendedor</t>
  </si>
  <si>
    <t>ESQUEMA</t>
  </si>
  <si>
    <t>NOMBRE COMPLETO</t>
  </si>
  <si>
    <t>RANGO</t>
  </si>
  <si>
    <t>FLAT %</t>
  </si>
  <si>
    <t>PORCENTAJES</t>
  </si>
  <si>
    <t>BONOS TIENDA</t>
  </si>
  <si>
    <t>SUMA TOTAL 1 QUINCENA</t>
  </si>
  <si>
    <t>TASA % 1 QUINCENA</t>
  </si>
  <si>
    <t>SUELDO BASE</t>
  </si>
  <si>
    <t>SUMA TOTAL 2 QUINCENA</t>
  </si>
  <si>
    <t>TASA % 1 QUINCENA2</t>
  </si>
  <si>
    <t>SUELDO BASE 2DA QUINCENA</t>
  </si>
  <si>
    <t>GERENTE GRAL</t>
  </si>
  <si>
    <t>MARCOS MARCIAL FLEBES</t>
  </si>
  <si>
    <t>35%+600,000</t>
  </si>
  <si>
    <t>.75%,1%+2,300,000-1.5%+4,600,000</t>
  </si>
  <si>
    <t>GERENTE</t>
  </si>
  <si>
    <t>NATALIA MENDEZ SARMIENTO</t>
  </si>
  <si>
    <t>32% FLAT</t>
  </si>
  <si>
    <t>1%+600,000-2%+800,000-3%+1,000,000-4% RECORD</t>
  </si>
  <si>
    <t>VENDEDOR</t>
  </si>
  <si>
    <t>ORLANDO JOSE SAAVEDRA DIAZ</t>
  </si>
  <si>
    <t xml:space="preserve">DANIEL MOLINA </t>
  </si>
  <si>
    <t>30 % FLAT</t>
  </si>
  <si>
    <t>CERRADOR</t>
  </si>
  <si>
    <t>CARLOS FRANCISCO MARTINEZ AYALA</t>
  </si>
  <si>
    <t>IRVING EMMANUEL CRUZ TELLEZ</t>
  </si>
  <si>
    <t>REGISTRO DE ESQUEMAS</t>
  </si>
  <si>
    <t>el formato no necesariamente debe ser el mismo puede ser de forma horizontal como un listado</t>
  </si>
  <si>
    <t>de acuerdo al monto del venta el esquema puede cambiar  cuanto tienen algun esquema variable o incluso pueden cambiar de rango con una previa autorizacion ( este cambio no debe de afectar registros anteriores )</t>
  </si>
  <si>
    <t>ADRIAN HERRERA MOLINERO</t>
  </si>
  <si>
    <t>ALEJANDRA IVONNE GOMEZ FLORES</t>
  </si>
  <si>
    <t>AMALIA GOMEZ CONTRERAS</t>
  </si>
  <si>
    <t>ANDREA PAOLA CRUZ LOPEZ</t>
  </si>
  <si>
    <t>ANDREA STEPHANI RADA CASTILLO</t>
  </si>
  <si>
    <t>ARACELI CALDERON VELAZQUEZ</t>
  </si>
  <si>
    <t>BLANCA ELIZABETH GARCIA PADILLA</t>
  </si>
  <si>
    <t>Ventas Con IVA</t>
  </si>
  <si>
    <t>Ventas Sin IVA</t>
  </si>
  <si>
    <t>Sueldo base</t>
  </si>
  <si>
    <t>Prestamo</t>
  </si>
  <si>
    <t>Pago Prestamo</t>
  </si>
  <si>
    <t>BRENDA ITZEL CHAVEZ SORIANO</t>
  </si>
  <si>
    <t xml:space="preserve">BRENDA LEON </t>
  </si>
  <si>
    <t>DULCE HERRERA MOLINERO</t>
  </si>
  <si>
    <t>EDGAR HERRERA HERRERA ESPINOZA</t>
  </si>
  <si>
    <t>EDUARDO STANBINSKI MILLER</t>
  </si>
  <si>
    <t>recibo mendiante el cual se envia al vendedor para que confirme su venta y que todo este ok , (envio por whatsapp) la informacion que extrae es de la ventana de sumary</t>
  </si>
  <si>
    <t>editable</t>
  </si>
  <si>
    <t>todo lo editable debe ser solo por administrador</t>
  </si>
  <si>
    <t>fecha de acuerdo al periodo en el sumary</t>
  </si>
  <si>
    <t>el listado de opcines puede ser editable para quitar o poner un dato mas , todos los numeros y porcentajes son extraidos de sumary</t>
  </si>
  <si>
    <t xml:space="preserve">si es sposible que en estas dos opciones cuando selecciones en la pantalla de bonos te de la opcion de subir foto para que suban su comprobante </t>
  </si>
  <si>
    <t xml:space="preserve">la mayoria de ocaciones los bonos pueden ser divididos entre de 2 a 5 personas </t>
  </si>
  <si>
    <t>NOMBRE</t>
  </si>
  <si>
    <t>BONO</t>
  </si>
  <si>
    <t>SUCURSAL</t>
  </si>
  <si>
    <t>FECHA</t>
  </si>
  <si>
    <t>MITIKAH</t>
  </si>
  <si>
    <t>ISABELLA SEGURA ARTEAGA</t>
  </si>
  <si>
    <t>OPATRA</t>
  </si>
  <si>
    <t xml:space="preserve">STHEPANIE LUCERO VAZQUEZ </t>
  </si>
  <si>
    <t>MARIA MAGDALENA CRUZ ROSALES</t>
  </si>
  <si>
    <t>GALERIAS INSURGENTES</t>
  </si>
  <si>
    <t xml:space="preserve">BRAYAN BECERRA </t>
  </si>
  <si>
    <t>JESSICA MARTINEZ AMBRIS</t>
  </si>
  <si>
    <t>LOREINYS ANDREA GARCIA SANCHEZ</t>
  </si>
  <si>
    <t>JESUS RAMIRO NAVARRO CARRILLO</t>
  </si>
  <si>
    <t>MIYANA</t>
  </si>
  <si>
    <t>ELLUZ KASSANDRA HERNANDEZ SANCHEZ</t>
  </si>
  <si>
    <t>DELTA</t>
  </si>
  <si>
    <r>
      <rPr>
        <b/>
        <sz val="72"/>
        <color theme="1"/>
        <rFont val="Calibri"/>
        <family val="2"/>
        <scheme val="minor"/>
      </rPr>
      <t xml:space="preserve">BONOS     </t>
    </r>
    <r>
      <rPr>
        <b/>
        <sz val="18"/>
        <color theme="1"/>
        <rFont val="Calibri"/>
        <family val="2"/>
        <scheme val="minor"/>
      </rPr>
      <t>al momento de la creacion  del bono se debe crear un listado en el cual registra el nombre del vendedor, su monto del bono, nombre del bono la sucursal a la que pertenece el bono y lo mas importante la fecha y un campo de notas adicionales</t>
    </r>
  </si>
  <si>
    <t>NOTAS</t>
  </si>
  <si>
    <t>STATUS</t>
  </si>
  <si>
    <t xml:space="preserve">aprobado </t>
  </si>
  <si>
    <t>no aprobado</t>
  </si>
  <si>
    <t>pendiente</t>
  </si>
  <si>
    <t>puede ir con un icono en ves de letra</t>
  </si>
  <si>
    <t>periodo</t>
  </si>
  <si>
    <t xml:space="preserve">       /        /</t>
  </si>
  <si>
    <t>a</t>
  </si>
  <si>
    <t>selección de fecha</t>
  </si>
  <si>
    <t>descarga pdf, excel impresión</t>
  </si>
  <si>
    <t>se puede incluir en algun boton de configuracion donde todos estos campos que son editables este en un misma pantalla ( revisar si es posible o mas adelante)</t>
  </si>
  <si>
    <t>importante considerar  el flat puede cambiar , el esquema se puede cambiar y sobre todo los nombres que aparecen en este listado deben ir ligados con la lista de empleados la cual si el status esta como inactivo no debe de aparecer , " solo puros empleados activos"</t>
  </si>
  <si>
    <t>considerar donde se colocaria y en que registro el numero de rango o esquema  para la busqueda</t>
  </si>
  <si>
    <t>Desde</t>
  </si>
  <si>
    <t>A</t>
  </si>
  <si>
    <t>Dia de Pago</t>
  </si>
  <si>
    <t>Empleado</t>
  </si>
  <si>
    <t>Esquema de pago</t>
  </si>
  <si>
    <t>Porcentaje Individual</t>
  </si>
  <si>
    <t>Comisiones Individual</t>
  </si>
  <si>
    <t>Ajuste +</t>
  </si>
  <si>
    <t>Ajuste de -</t>
  </si>
  <si>
    <t>Comisiones Kiosco</t>
  </si>
  <si>
    <t>% Por Kiosko</t>
  </si>
  <si>
    <t>Pago antes de retenciones</t>
  </si>
  <si>
    <t>RETENCIONES</t>
  </si>
  <si>
    <t>Total Pago</t>
  </si>
  <si>
    <t>Bono</t>
  </si>
  <si>
    <t>Multa</t>
  </si>
  <si>
    <t>Ajuste Nomina +</t>
  </si>
  <si>
    <t>Ajuste Nomina -</t>
  </si>
  <si>
    <t>EILEEN GISELLE LIAHUT LEY</t>
  </si>
  <si>
    <t>GABRIELA RAMIREZ CORONA</t>
  </si>
  <si>
    <t xml:space="preserve">ISMAEL  </t>
  </si>
  <si>
    <t>LIGIA ELENA VARGAS ERAZO</t>
  </si>
  <si>
    <t>LUCIO SEBASTIAN HERNANDEZ ROJO</t>
  </si>
  <si>
    <t>MANUEL ORTEGA GUTIERREZ</t>
  </si>
  <si>
    <t>MARIA FABIOLA GONZALEZ ROBLES</t>
  </si>
  <si>
    <t>MARIA LORETO CASANOVA CARRASCO</t>
  </si>
  <si>
    <t>MARIANA ANGELIA RIVAS MATUS</t>
  </si>
  <si>
    <t xml:space="preserve">OPATRA LONDON </t>
  </si>
  <si>
    <t>SAUL VARGAS PRADO</t>
  </si>
  <si>
    <t>NALLELY SALOME MARTINEZ</t>
  </si>
  <si>
    <t>vendedor</t>
  </si>
  <si>
    <t>facialista</t>
  </si>
  <si>
    <t>Gerente Insurgentes</t>
  </si>
  <si>
    <t>Gerente Opatra</t>
  </si>
  <si>
    <t>CERRADOR A</t>
  </si>
  <si>
    <t>Gerente Delta</t>
  </si>
  <si>
    <t>vendedor-f</t>
  </si>
  <si>
    <t>call center</t>
  </si>
  <si>
    <t>Gerente General</t>
  </si>
  <si>
    <t>Gerente</t>
  </si>
  <si>
    <t>GERENTE MIYANA</t>
  </si>
  <si>
    <t>CALL CENTER</t>
  </si>
  <si>
    <t>incluir boton calcular con iva</t>
  </si>
  <si>
    <t>incluiir boton calcular sin iva</t>
  </si>
  <si>
    <t>se extrae de la pantalla de esquemas</t>
  </si>
  <si>
    <t>se extrae de la suma de todos los regustros de los sobres de venta</t>
  </si>
  <si>
    <t>ajuste de -</t>
  </si>
  <si>
    <t>solo administracion puede poner un monto en estos dos campos</t>
  </si>
  <si>
    <t>ejemplo: este bono esta dividio entre dos personas</t>
  </si>
  <si>
    <t>puede llegar a pasar que el bono de divida 50% vs 50% pero uno de esos 50% no sea comisionable, puesto que algunos gerentes no tienen permitidio cobrar bonos.</t>
  </si>
  <si>
    <t>ejemlplo</t>
  </si>
  <si>
    <t>daniel molina</t>
  </si>
  <si>
    <t>carlos martinez</t>
  </si>
  <si>
    <t>hit</t>
  </si>
  <si>
    <t>al momento de selección el bono preguntar el bono es compartido ? Y desplegar con signo de + cuantas personas ( metodologia como en el sobre de ventas) pregunar al guardar cualquier registro "estas segura de guardar el movimiento" ( ejemplo y dar el ok de que se guardo correctamente</t>
  </si>
  <si>
    <t>1. ventas con iva * porcentaje individual</t>
  </si>
  <si>
    <t>2.porcentaje sin iva * poncentaje individual</t>
  </si>
  <si>
    <t>(OPCION QUE SE GENERA CUAL ELJES  CALCULAR CON IVA O SIN IVA</t>
  </si>
  <si>
    <t>suma de todas las columnas</t>
  </si>
  <si>
    <t>suma de todo lo + positivo</t>
  </si>
  <si>
    <t>suma de todo lo negativo</t>
  </si>
  <si>
    <t>ajuste</t>
  </si>
  <si>
    <t>nombre del vendedor</t>
  </si>
  <si>
    <t>monto solicitado</t>
  </si>
  <si>
    <t>numeros de pagos</t>
  </si>
  <si>
    <t>monto pagado</t>
  </si>
  <si>
    <t>monto pendiente</t>
  </si>
  <si>
    <t>emmanuel rangel</t>
  </si>
  <si>
    <t>monto a descontar</t>
  </si>
  <si>
    <t>fecha de  solicitud</t>
  </si>
  <si>
    <t>status</t>
  </si>
  <si>
    <t>pendiente , pagado o perdido</t>
  </si>
  <si>
    <t>pendiente si tiene monto a pagar</t>
  </si>
  <si>
    <t>pagado si ya la validacion da cero</t>
  </si>
  <si>
    <t>perdido ajuste manual si el vendedor esta inactivo  sin borrar registros</t>
  </si>
  <si>
    <t>AMORTIZACION DE PRESTAMOS Y ADELANTOS</t>
  </si>
  <si>
    <t>naturaleza</t>
  </si>
  <si>
    <t>prestamo</t>
  </si>
  <si>
    <t>adelanto de nomina</t>
  </si>
  <si>
    <t>pagado</t>
  </si>
  <si>
    <t>sumas finales</t>
  </si>
  <si>
    <t>monto cobrado</t>
  </si>
  <si>
    <t>saldo final</t>
  </si>
  <si>
    <t>monto prestado</t>
  </si>
  <si>
    <t>periodo de pago</t>
  </si>
  <si>
    <t>01/01/2025-15/01/2025</t>
  </si>
  <si>
    <t>extraer de pantalla prestamos</t>
  </si>
  <si>
    <t>multa</t>
  </si>
  <si>
    <t>COSTO DE NOMINA POR PUNTO DE VENTA</t>
  </si>
  <si>
    <t>BONOS POR PUNTO DE VENTA</t>
  </si>
  <si>
    <t>VENDEDORES</t>
  </si>
  <si>
    <t>Total</t>
  </si>
  <si>
    <t>CARRETA DELTA</t>
  </si>
  <si>
    <t>CARRETA INSURGENTES</t>
  </si>
  <si>
    <t>%</t>
  </si>
  <si>
    <t>SUBTOTAL</t>
  </si>
  <si>
    <t>Adelanto  Nomina -</t>
  </si>
  <si>
    <t>SUBTOTAL.</t>
  </si>
  <si>
    <t>COSTO MITIKAH</t>
  </si>
  <si>
    <t>COSTO INTERLOMAS</t>
  </si>
  <si>
    <t>COSTO CARRETA DELTA</t>
  </si>
  <si>
    <t>COSTO OPATRA</t>
  </si>
  <si>
    <t>COSTO CARRETA INSURGENTES</t>
  </si>
  <si>
    <t>SUMA</t>
  </si>
  <si>
    <t>BONOS MITIKAH</t>
  </si>
  <si>
    <t>BONOS MIYANA</t>
  </si>
  <si>
    <t>BONOS CARRETA DELTA</t>
  </si>
  <si>
    <t>BONOS OPATRA</t>
  </si>
  <si>
    <t>BONOS CARRETA INSURGENTES</t>
  </si>
  <si>
    <t>id empleado</t>
  </si>
  <si>
    <t>generado al registrar un nuevo empleado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</si>
</sst>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0.0%"/>
    <numFmt numFmtId="165" formatCode="&quot;$&quot;\ #,##0.00"/>
    <numFmt numFmtId="166" formatCode="&quot;$&quot;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4"/>
      <color theme="0"/>
      <name val="Calibri"/>
      <family val="2"/>
    </font>
    <font>
      <b/>
      <sz val="13"/>
      <color theme="1" tint="0.34998626667073579"/>
      <name val="Calibri"/>
      <family val="2"/>
      <scheme val="minor"/>
    </font>
    <font>
      <sz val="13"/>
      <color theme="1" tint="0.34998626667073579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6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4">
    <xf numFmtId="0" fontId="0" fillId="0" borderId="0" xfId="0"/>
    <xf numFmtId="0" fontId="6" fillId="2" borderId="1" xfId="0" applyFont="1" applyFill="1" applyBorder="1" applyAlignment="1" applyProtection="1">
      <alignment horizontal="center" vertical="center" wrapText="1"/>
      <protection locked="0" hidden="1"/>
    </xf>
    <xf numFmtId="44" fontId="6" fillId="2" borderId="0" xfId="0" applyNumberFormat="1" applyFont="1" applyFill="1" applyAlignment="1" applyProtection="1">
      <alignment horizontal="center" vertical="center" wrapText="1"/>
      <protection locked="0" hidden="1"/>
    </xf>
    <xf numFmtId="44" fontId="6" fillId="2" borderId="2" xfId="0" applyNumberFormat="1" applyFont="1" applyFill="1" applyBorder="1" applyAlignment="1" applyProtection="1">
      <alignment horizontal="center" vertical="center" wrapText="1"/>
      <protection locked="0" hidden="1"/>
    </xf>
    <xf numFmtId="1" fontId="6" fillId="2" borderId="1" xfId="0" applyNumberFormat="1" applyFont="1" applyFill="1" applyBorder="1" applyAlignment="1" applyProtection="1">
      <alignment horizontal="center" vertical="center" wrapText="1"/>
      <protection locked="0" hidden="1"/>
    </xf>
    <xf numFmtId="164" fontId="6" fillId="2" borderId="1" xfId="0" applyNumberFormat="1" applyFont="1" applyFill="1" applyBorder="1" applyAlignment="1" applyProtection="1">
      <alignment horizontal="center" vertical="center" wrapText="1"/>
      <protection locked="0" hidden="1"/>
    </xf>
    <xf numFmtId="0" fontId="6" fillId="2" borderId="0" xfId="0" applyFont="1" applyFill="1" applyAlignment="1" applyProtection="1">
      <alignment horizontal="center" vertical="center" wrapText="1"/>
      <protection locked="0" hidden="1"/>
    </xf>
    <xf numFmtId="0" fontId="0" fillId="5" borderId="9" xfId="0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165" fontId="9" fillId="0" borderId="14" xfId="0" applyNumberFormat="1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9" fontId="9" fillId="0" borderId="16" xfId="2" applyFont="1" applyBorder="1" applyAlignment="1">
      <alignment horizontal="center" vertical="center"/>
    </xf>
    <xf numFmtId="165" fontId="9" fillId="4" borderId="14" xfId="0" applyNumberFormat="1" applyFont="1" applyFill="1" applyBorder="1" applyAlignment="1">
      <alignment horizontal="center" vertical="center"/>
    </xf>
    <xf numFmtId="165" fontId="9" fillId="4" borderId="15" xfId="0" applyNumberFormat="1" applyFont="1" applyFill="1" applyBorder="1" applyAlignment="1">
      <alignment horizontal="center" vertical="center"/>
    </xf>
    <xf numFmtId="9" fontId="9" fillId="4" borderId="16" xfId="2" applyFont="1" applyFill="1" applyBorder="1" applyAlignment="1">
      <alignment horizontal="center" vertical="center"/>
    </xf>
    <xf numFmtId="165" fontId="9" fillId="0" borderId="17" xfId="0" applyNumberFormat="1" applyFont="1" applyBorder="1" applyAlignment="1">
      <alignment horizontal="center" vertical="center"/>
    </xf>
    <xf numFmtId="165" fontId="9" fillId="0" borderId="18" xfId="0" applyNumberFormat="1" applyFont="1" applyBorder="1" applyAlignment="1">
      <alignment horizontal="center" vertical="center"/>
    </xf>
    <xf numFmtId="9" fontId="9" fillId="0" borderId="19" xfId="2" applyFont="1" applyBorder="1" applyAlignment="1">
      <alignment horizontal="center" vertical="center"/>
    </xf>
    <xf numFmtId="0" fontId="0" fillId="5" borderId="0" xfId="0" applyFill="1"/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9" fontId="9" fillId="0" borderId="15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165" fontId="9" fillId="0" borderId="22" xfId="0" applyNumberFormat="1" applyFont="1" applyBorder="1" applyAlignment="1">
      <alignment horizontal="center" vertical="center"/>
    </xf>
    <xf numFmtId="165" fontId="9" fillId="0" borderId="9" xfId="0" applyNumberFormat="1" applyFont="1" applyBorder="1" applyAlignment="1">
      <alignment horizontal="center" vertical="center"/>
    </xf>
    <xf numFmtId="9" fontId="9" fillId="0" borderId="20" xfId="2" applyFont="1" applyBorder="1" applyAlignment="1">
      <alignment horizontal="center" vertical="center"/>
    </xf>
    <xf numFmtId="165" fontId="9" fillId="4" borderId="22" xfId="0" applyNumberFormat="1" applyFont="1" applyFill="1" applyBorder="1" applyAlignment="1">
      <alignment horizontal="center" vertical="center"/>
    </xf>
    <xf numFmtId="165" fontId="9" fillId="4" borderId="9" xfId="0" applyNumberFormat="1" applyFont="1" applyFill="1" applyBorder="1" applyAlignment="1">
      <alignment horizontal="center" vertical="center"/>
    </xf>
    <xf numFmtId="9" fontId="9" fillId="4" borderId="20" xfId="2" applyFont="1" applyFill="1" applyBorder="1" applyAlignment="1">
      <alignment horizontal="center" vertical="center"/>
    </xf>
    <xf numFmtId="165" fontId="9" fillId="0" borderId="23" xfId="0" applyNumberFormat="1" applyFont="1" applyBorder="1" applyAlignment="1">
      <alignment horizontal="center" vertical="center"/>
    </xf>
    <xf numFmtId="165" fontId="9" fillId="0" borderId="24" xfId="0" applyNumberFormat="1" applyFont="1" applyBorder="1" applyAlignment="1">
      <alignment horizontal="center" vertical="center"/>
    </xf>
    <xf numFmtId="9" fontId="9" fillId="0" borderId="25" xfId="2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vertical="center"/>
    </xf>
    <xf numFmtId="165" fontId="9" fillId="0" borderId="0" xfId="0" applyNumberFormat="1" applyFont="1" applyAlignment="1">
      <alignment horizontal="center" vertical="center"/>
    </xf>
    <xf numFmtId="9" fontId="9" fillId="0" borderId="0" xfId="2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3" borderId="6" xfId="0" applyFont="1" applyFill="1" applyBorder="1" applyAlignment="1">
      <alignment wrapText="1"/>
    </xf>
    <xf numFmtId="0" fontId="2" fillId="3" borderId="27" xfId="0" applyFont="1" applyFill="1" applyBorder="1" applyAlignment="1">
      <alignment wrapText="1"/>
    </xf>
    <xf numFmtId="9" fontId="2" fillId="3" borderId="27" xfId="2" applyFont="1" applyFill="1" applyBorder="1" applyAlignment="1">
      <alignment wrapText="1"/>
    </xf>
    <xf numFmtId="0" fontId="2" fillId="7" borderId="28" xfId="0" applyFont="1" applyFill="1" applyBorder="1" applyAlignment="1">
      <alignment wrapText="1"/>
    </xf>
    <xf numFmtId="9" fontId="2" fillId="7" borderId="29" xfId="2" applyFont="1" applyFill="1" applyBorder="1" applyAlignment="1">
      <alignment wrapText="1"/>
    </xf>
    <xf numFmtId="0" fontId="2" fillId="7" borderId="30" xfId="0" applyFont="1" applyFill="1" applyBorder="1" applyAlignment="1">
      <alignment wrapText="1"/>
    </xf>
    <xf numFmtId="0" fontId="0" fillId="4" borderId="6" xfId="0" applyFill="1" applyBorder="1"/>
    <xf numFmtId="0" fontId="0" fillId="4" borderId="27" xfId="0" applyFill="1" applyBorder="1"/>
    <xf numFmtId="9" fontId="0" fillId="4" borderId="27" xfId="2" applyFont="1" applyFill="1" applyBorder="1"/>
    <xf numFmtId="166" fontId="0" fillId="4" borderId="27" xfId="0" applyNumberFormat="1" applyFill="1" applyBorder="1"/>
    <xf numFmtId="44" fontId="0" fillId="8" borderId="27" xfId="0" applyNumberFormat="1" applyFill="1" applyBorder="1"/>
    <xf numFmtId="166" fontId="0" fillId="4" borderId="31" xfId="0" applyNumberFormat="1" applyFill="1" applyBorder="1"/>
    <xf numFmtId="9" fontId="0" fillId="4" borderId="29" xfId="2" applyFont="1" applyFill="1" applyBorder="1"/>
    <xf numFmtId="44" fontId="0" fillId="4" borderId="30" xfId="0" applyNumberFormat="1" applyFill="1" applyBorder="1"/>
    <xf numFmtId="0" fontId="0" fillId="9" borderId="6" xfId="0" applyFill="1" applyBorder="1"/>
    <xf numFmtId="0" fontId="0" fillId="9" borderId="27" xfId="0" applyFill="1" applyBorder="1"/>
    <xf numFmtId="9" fontId="0" fillId="9" borderId="27" xfId="2" applyFont="1" applyFill="1" applyBorder="1"/>
    <xf numFmtId="166" fontId="0" fillId="9" borderId="27" xfId="0" applyNumberFormat="1" applyFill="1" applyBorder="1"/>
    <xf numFmtId="44" fontId="0" fillId="9" borderId="27" xfId="0" applyNumberFormat="1" applyFill="1" applyBorder="1"/>
    <xf numFmtId="166" fontId="0" fillId="9" borderId="31" xfId="0" applyNumberFormat="1" applyFill="1" applyBorder="1"/>
    <xf numFmtId="44" fontId="0" fillId="9" borderId="32" xfId="0" applyNumberFormat="1" applyFill="1" applyBorder="1"/>
    <xf numFmtId="44" fontId="0" fillId="4" borderId="27" xfId="0" applyNumberFormat="1" applyFill="1" applyBorder="1"/>
    <xf numFmtId="44" fontId="0" fillId="4" borderId="32" xfId="0" applyNumberFormat="1" applyFill="1" applyBorder="1"/>
    <xf numFmtId="0" fontId="0" fillId="0" borderId="6" xfId="0" applyBorder="1"/>
    <xf numFmtId="0" fontId="0" fillId="0" borderId="27" xfId="0" applyBorder="1"/>
    <xf numFmtId="9" fontId="0" fillId="0" borderId="27" xfId="2" applyFont="1" applyBorder="1"/>
    <xf numFmtId="166" fontId="0" fillId="0" borderId="27" xfId="0" applyNumberFormat="1" applyBorder="1"/>
    <xf numFmtId="44" fontId="0" fillId="0" borderId="27" xfId="0" applyNumberFormat="1" applyBorder="1"/>
    <xf numFmtId="166" fontId="0" fillId="0" borderId="31" xfId="0" applyNumberFormat="1" applyBorder="1"/>
    <xf numFmtId="44" fontId="0" fillId="0" borderId="32" xfId="0" applyNumberFormat="1" applyBorder="1"/>
    <xf numFmtId="0" fontId="13" fillId="10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0" fontId="2" fillId="3" borderId="6" xfId="0" applyFont="1" applyFill="1" applyBorder="1"/>
    <xf numFmtId="44" fontId="2" fillId="3" borderId="27" xfId="1" applyFont="1" applyFill="1" applyBorder="1"/>
    <xf numFmtId="0" fontId="2" fillId="3" borderId="27" xfId="0" applyFont="1" applyFill="1" applyBorder="1"/>
    <xf numFmtId="14" fontId="2" fillId="3" borderId="5" xfId="0" applyNumberFormat="1" applyFont="1" applyFill="1" applyBorder="1"/>
    <xf numFmtId="44" fontId="0" fillId="4" borderId="27" xfId="1" applyFont="1" applyFill="1" applyBorder="1"/>
    <xf numFmtId="16" fontId="0" fillId="4" borderId="5" xfId="0" applyNumberFormat="1" applyFill="1" applyBorder="1"/>
    <xf numFmtId="44" fontId="0" fillId="0" borderId="27" xfId="1" applyFont="1" applyBorder="1"/>
    <xf numFmtId="16" fontId="0" fillId="0" borderId="5" xfId="0" applyNumberFormat="1" applyBorder="1"/>
    <xf numFmtId="0" fontId="12" fillId="10" borderId="0" xfId="0" applyFont="1" applyFill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4" fontId="15" fillId="2" borderId="9" xfId="1" applyFont="1" applyFill="1" applyBorder="1" applyAlignment="1">
      <alignment horizontal="center"/>
    </xf>
    <xf numFmtId="14" fontId="16" fillId="0" borderId="9" xfId="0" applyNumberFormat="1" applyFont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44" fontId="15" fillId="2" borderId="9" xfId="0" applyNumberFormat="1" applyFont="1" applyFill="1" applyBorder="1" applyAlignment="1">
      <alignment horizontal="center"/>
    </xf>
    <xf numFmtId="14" fontId="16" fillId="0" borderId="9" xfId="0" applyNumberFormat="1" applyFont="1" applyBorder="1"/>
    <xf numFmtId="44" fontId="16" fillId="0" borderId="9" xfId="0" applyNumberFormat="1" applyFont="1" applyBorder="1" applyAlignment="1">
      <alignment horizontal="center"/>
    </xf>
    <xf numFmtId="44" fontId="16" fillId="0" borderId="9" xfId="1" applyFont="1" applyBorder="1"/>
    <xf numFmtId="0" fontId="16" fillId="0" borderId="9" xfId="0" applyFont="1" applyBorder="1"/>
    <xf numFmtId="9" fontId="16" fillId="0" borderId="9" xfId="2" applyFont="1" applyBorder="1"/>
    <xf numFmtId="9" fontId="15" fillId="0" borderId="9" xfId="2" applyFont="1" applyBorder="1" applyAlignment="1">
      <alignment horizontal="center"/>
    </xf>
    <xf numFmtId="0" fontId="16" fillId="0" borderId="9" xfId="2" applyNumberFormat="1" applyFont="1" applyBorder="1" applyAlignment="1">
      <alignment horizontal="center" wrapText="1"/>
    </xf>
    <xf numFmtId="0" fontId="17" fillId="0" borderId="9" xfId="0" applyFont="1" applyBorder="1" applyAlignment="1">
      <alignment horizontal="center" vertical="center"/>
    </xf>
    <xf numFmtId="44" fontId="16" fillId="0" borderId="9" xfId="0" applyNumberFormat="1" applyFont="1" applyBorder="1"/>
    <xf numFmtId="0" fontId="16" fillId="0" borderId="0" xfId="0" applyFont="1"/>
    <xf numFmtId="44" fontId="16" fillId="0" borderId="9" xfId="1" applyFont="1" applyBorder="1" applyAlignment="1">
      <alignment horizontal="center"/>
    </xf>
    <xf numFmtId="9" fontId="16" fillId="0" borderId="9" xfId="2" applyFont="1" applyBorder="1" applyAlignment="1">
      <alignment horizontal="center"/>
    </xf>
    <xf numFmtId="44" fontId="16" fillId="0" borderId="0" xfId="1" applyFont="1" applyFill="1"/>
    <xf numFmtId="0" fontId="15" fillId="2" borderId="9" xfId="0" applyFont="1" applyFill="1" applyBorder="1" applyAlignment="1">
      <alignment horizontal="center" vertical="center" wrapText="1"/>
    </xf>
    <xf numFmtId="1" fontId="15" fillId="2" borderId="9" xfId="0" applyNumberFormat="1" applyFont="1" applyFill="1" applyBorder="1" applyAlignment="1">
      <alignment horizontal="center" vertical="center" wrapText="1"/>
    </xf>
    <xf numFmtId="164" fontId="15" fillId="2" borderId="9" xfId="0" applyNumberFormat="1" applyFont="1" applyFill="1" applyBorder="1" applyAlignment="1">
      <alignment horizontal="center" vertical="center" wrapText="1"/>
    </xf>
    <xf numFmtId="44" fontId="15" fillId="2" borderId="9" xfId="0" applyNumberFormat="1" applyFont="1" applyFill="1" applyBorder="1" applyAlignment="1">
      <alignment horizontal="center" vertical="center" wrapText="1"/>
    </xf>
    <xf numFmtId="44" fontId="15" fillId="2" borderId="9" xfId="1" applyFont="1" applyFill="1" applyBorder="1" applyAlignment="1">
      <alignment horizontal="center" vertical="center" wrapText="1"/>
    </xf>
    <xf numFmtId="9" fontId="15" fillId="2" borderId="9" xfId="2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9" xfId="0" applyFont="1" applyBorder="1" applyAlignment="1" applyProtection="1">
      <alignment horizontal="left"/>
      <protection locked="0" hidden="1"/>
    </xf>
    <xf numFmtId="44" fontId="16" fillId="0" borderId="9" xfId="1" applyFont="1" applyBorder="1" applyProtection="1">
      <protection locked="0" hidden="1"/>
    </xf>
    <xf numFmtId="0" fontId="16" fillId="0" borderId="9" xfId="1" applyNumberFormat="1" applyFont="1" applyBorder="1" applyAlignment="1" applyProtection="1">
      <alignment horizontal="center"/>
      <protection locked="0" hidden="1"/>
    </xf>
    <xf numFmtId="164" fontId="18" fillId="0" borderId="21" xfId="1" applyNumberFormat="1" applyFont="1" applyBorder="1" applyAlignment="1" applyProtection="1">
      <alignment horizontal="center"/>
      <protection locked="0" hidden="1"/>
    </xf>
    <xf numFmtId="44" fontId="18" fillId="0" borderId="21" xfId="1" applyFont="1" applyBorder="1" applyAlignment="1" applyProtection="1">
      <alignment horizontal="center"/>
      <protection locked="0" hidden="1"/>
    </xf>
    <xf numFmtId="2" fontId="16" fillId="0" borderId="9" xfId="1" applyNumberFormat="1" applyFont="1" applyBorder="1" applyProtection="1">
      <protection locked="0" hidden="1"/>
    </xf>
    <xf numFmtId="9" fontId="16" fillId="0" borderId="9" xfId="2" applyFont="1" applyBorder="1" applyAlignment="1" applyProtection="1">
      <alignment horizontal="center" wrapText="1"/>
      <protection locked="0" hidden="1"/>
    </xf>
    <xf numFmtId="44" fontId="19" fillId="0" borderId="9" xfId="1" applyFont="1" applyFill="1" applyBorder="1" applyProtection="1">
      <protection locked="0" hidden="1"/>
    </xf>
    <xf numFmtId="44" fontId="0" fillId="0" borderId="0" xfId="1" applyFont="1" applyFill="1"/>
    <xf numFmtId="0" fontId="15" fillId="0" borderId="9" xfId="0" applyFont="1" applyBorder="1" applyAlignment="1">
      <alignment horizontal="left" vertical="center"/>
    </xf>
    <xf numFmtId="0" fontId="16" fillId="0" borderId="0" xfId="0" applyFont="1" applyAlignment="1">
      <alignment horizontal="left"/>
    </xf>
    <xf numFmtId="44" fontId="16" fillId="0" borderId="0" xfId="1" applyFont="1"/>
    <xf numFmtId="44" fontId="16" fillId="0" borderId="0" xfId="0" applyNumberFormat="1" applyFont="1"/>
    <xf numFmtId="44" fontId="16" fillId="0" borderId="0" xfId="0" applyNumberFormat="1" applyFont="1" applyAlignment="1">
      <alignment horizontal="center"/>
    </xf>
    <xf numFmtId="9" fontId="16" fillId="0" borderId="0" xfId="2" applyFont="1"/>
    <xf numFmtId="0" fontId="16" fillId="0" borderId="0" xfId="2" applyNumberFormat="1" applyFont="1" applyAlignment="1">
      <alignment horizontal="center" wrapText="1"/>
    </xf>
    <xf numFmtId="0" fontId="15" fillId="0" borderId="0" xfId="0" applyFont="1"/>
    <xf numFmtId="44" fontId="16" fillId="0" borderId="21" xfId="1" applyFont="1" applyBorder="1" applyAlignment="1">
      <alignment horizontal="center"/>
    </xf>
    <xf numFmtId="9" fontId="16" fillId="0" borderId="21" xfId="2" applyFont="1" applyBorder="1" applyAlignment="1">
      <alignment horizontal="center"/>
    </xf>
    <xf numFmtId="44" fontId="16" fillId="0" borderId="0" xfId="1" applyFont="1" applyFill="1" applyBorder="1"/>
    <xf numFmtId="44" fontId="16" fillId="0" borderId="0" xfId="1" applyFont="1" applyBorder="1" applyAlignment="1">
      <alignment horizontal="center"/>
    </xf>
    <xf numFmtId="9" fontId="16" fillId="0" borderId="0" xfId="2" applyFont="1" applyBorder="1" applyAlignment="1">
      <alignment horizontal="center"/>
    </xf>
    <xf numFmtId="0" fontId="16" fillId="0" borderId="0" xfId="0" applyFont="1" applyAlignment="1">
      <alignment horizontal="center"/>
    </xf>
    <xf numFmtId="44" fontId="16" fillId="11" borderId="0" xfId="1" applyFont="1" applyFill="1" applyBorder="1" applyAlignment="1">
      <alignment horizontal="center" vertical="center" wrapText="1"/>
    </xf>
    <xf numFmtId="0" fontId="15" fillId="9" borderId="0" xfId="0" applyFont="1" applyFill="1" applyAlignment="1">
      <alignment horizontal="center" vertical="top" wrapText="1"/>
    </xf>
    <xf numFmtId="44" fontId="0" fillId="8" borderId="27" xfId="1" applyFont="1" applyFill="1" applyBorder="1"/>
    <xf numFmtId="44" fontId="0" fillId="12" borderId="27" xfId="1" applyFont="1" applyFill="1" applyBorder="1"/>
    <xf numFmtId="0" fontId="0" fillId="8" borderId="0" xfId="0" applyFill="1"/>
    <xf numFmtId="0" fontId="11" fillId="8" borderId="0" xfId="0" applyFont="1" applyFill="1" applyAlignment="1">
      <alignment horizontal="center" vertical="center" wrapText="1"/>
    </xf>
    <xf numFmtId="44" fontId="16" fillId="8" borderId="9" xfId="1" applyFont="1" applyFill="1" applyBorder="1" applyAlignment="1">
      <alignment horizontal="center"/>
    </xf>
    <xf numFmtId="9" fontId="16" fillId="8" borderId="9" xfId="2" applyFont="1" applyFill="1" applyBorder="1" applyAlignment="1">
      <alignment horizontal="center"/>
    </xf>
    <xf numFmtId="44" fontId="16" fillId="0" borderId="0" xfId="1" applyFont="1" applyBorder="1" applyAlignment="1">
      <alignment horizontal="center"/>
    </xf>
    <xf numFmtId="14" fontId="0" fillId="0" borderId="0" xfId="0" applyNumberFormat="1"/>
    <xf numFmtId="16" fontId="0" fillId="0" borderId="0" xfId="0" applyNumberFormat="1"/>
    <xf numFmtId="0" fontId="20" fillId="7" borderId="0" xfId="0" applyFont="1" applyFill="1"/>
    <xf numFmtId="0" fontId="0" fillId="13" borderId="0" xfId="0" applyFill="1"/>
    <xf numFmtId="0" fontId="15" fillId="11" borderId="0" xfId="0" applyFont="1" applyFill="1" applyAlignment="1">
      <alignment horizontal="center" vertical="center"/>
    </xf>
    <xf numFmtId="0" fontId="0" fillId="0" borderId="0" xfId="0" applyAlignment="1"/>
    <xf numFmtId="0" fontId="6" fillId="2" borderId="9" xfId="0" applyFont="1" applyFill="1" applyBorder="1" applyAlignment="1">
      <alignment horizontal="center"/>
    </xf>
    <xf numFmtId="14" fontId="19" fillId="0" borderId="9" xfId="0" applyNumberFormat="1" applyFont="1" applyBorder="1" applyAlignment="1">
      <alignment horizontal="center"/>
    </xf>
    <xf numFmtId="0" fontId="19" fillId="0" borderId="0" xfId="0" applyFont="1"/>
    <xf numFmtId="14" fontId="19" fillId="0" borderId="9" xfId="0" applyNumberFormat="1" applyFont="1" applyBorder="1"/>
    <xf numFmtId="0" fontId="19" fillId="0" borderId="0" xfId="2" applyNumberFormat="1" applyFont="1"/>
    <xf numFmtId="44" fontId="19" fillId="0" borderId="0" xfId="1" applyFont="1"/>
    <xf numFmtId="44" fontId="19" fillId="0" borderId="0" xfId="0" applyNumberFormat="1" applyFont="1"/>
    <xf numFmtId="0" fontId="6" fillId="2" borderId="20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5" borderId="24" xfId="0" applyFont="1" applyFill="1" applyBorder="1" applyAlignment="1">
      <alignment horizontal="center"/>
    </xf>
    <xf numFmtId="44" fontId="19" fillId="0" borderId="24" xfId="0" applyNumberFormat="1" applyFont="1" applyBorder="1" applyAlignment="1">
      <alignment horizontal="center"/>
    </xf>
    <xf numFmtId="9" fontId="19" fillId="0" borderId="24" xfId="2" applyFont="1" applyBorder="1" applyAlignment="1">
      <alignment horizontal="center"/>
    </xf>
    <xf numFmtId="44" fontId="19" fillId="0" borderId="24" xfId="1" applyFont="1" applyBorder="1" applyAlignment="1">
      <alignment horizontal="center"/>
    </xf>
    <xf numFmtId="44" fontId="19" fillId="0" borderId="4" xfId="0" applyNumberFormat="1" applyFont="1" applyBorder="1" applyAlignment="1">
      <alignment horizontal="center" vertical="center"/>
    </xf>
    <xf numFmtId="0" fontId="6" fillId="2" borderId="8" xfId="0" applyFont="1" applyFill="1" applyBorder="1" applyAlignment="1" applyProtection="1">
      <alignment horizontal="center" vertical="center" wrapText="1"/>
      <protection locked="0" hidden="1"/>
    </xf>
    <xf numFmtId="44" fontId="21" fillId="2" borderId="21" xfId="1" applyFont="1" applyFill="1" applyBorder="1" applyAlignment="1" applyProtection="1">
      <alignment horizontal="center" vertical="center" wrapText="1"/>
      <protection locked="0" hidden="1"/>
    </xf>
    <xf numFmtId="0" fontId="6" fillId="2" borderId="21" xfId="0" applyFont="1" applyFill="1" applyBorder="1" applyAlignment="1" applyProtection="1">
      <alignment horizontal="center" vertical="center" wrapText="1"/>
      <protection locked="0" hidden="1"/>
    </xf>
    <xf numFmtId="1" fontId="6" fillId="2" borderId="21" xfId="0" applyNumberFormat="1" applyFont="1" applyFill="1" applyBorder="1" applyAlignment="1" applyProtection="1">
      <alignment horizontal="center" vertical="center" wrapText="1"/>
      <protection locked="0" hidden="1"/>
    </xf>
    <xf numFmtId="164" fontId="6" fillId="2" borderId="21" xfId="0" applyNumberFormat="1" applyFont="1" applyFill="1" applyBorder="1" applyAlignment="1" applyProtection="1">
      <alignment horizontal="center" vertical="center" wrapText="1"/>
      <protection locked="0" hidden="1"/>
    </xf>
    <xf numFmtId="10" fontId="6" fillId="2" borderId="21" xfId="2" applyNumberFormat="1" applyFont="1" applyFill="1" applyBorder="1" applyAlignment="1" applyProtection="1">
      <alignment horizontal="center" vertical="center" wrapText="1"/>
      <protection locked="0" hidden="1"/>
    </xf>
    <xf numFmtId="44" fontId="21" fillId="2" borderId="21" xfId="0" applyNumberFormat="1" applyFont="1" applyFill="1" applyBorder="1" applyAlignment="1" applyProtection="1">
      <alignment horizontal="center" vertical="center" wrapText="1"/>
      <protection locked="0" hidden="1"/>
    </xf>
    <xf numFmtId="44" fontId="6" fillId="2" borderId="21" xfId="1" applyFont="1" applyFill="1" applyBorder="1" applyAlignment="1" applyProtection="1">
      <alignment horizontal="center" vertical="center" wrapText="1"/>
      <protection locked="0" hidden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19" fillId="0" borderId="22" xfId="0" applyFont="1" applyBorder="1" applyAlignment="1" applyProtection="1">
      <alignment horizontal="left"/>
      <protection locked="0" hidden="1"/>
    </xf>
    <xf numFmtId="166" fontId="19" fillId="0" borderId="9" xfId="1" applyNumberFormat="1" applyFont="1" applyBorder="1" applyProtection="1">
      <protection locked="0" hidden="1"/>
    </xf>
    <xf numFmtId="44" fontId="19" fillId="0" borderId="9" xfId="1" applyFont="1" applyBorder="1" applyProtection="1">
      <protection locked="0" hidden="1"/>
    </xf>
    <xf numFmtId="10" fontId="19" fillId="0" borderId="9" xfId="2" applyNumberFormat="1" applyFont="1" applyFill="1" applyBorder="1" applyProtection="1">
      <protection locked="0" hidden="1"/>
    </xf>
    <xf numFmtId="166" fontId="19" fillId="0" borderId="9" xfId="2" applyNumberFormat="1" applyFont="1" applyFill="1" applyBorder="1" applyProtection="1">
      <protection locked="0" hidden="1"/>
    </xf>
    <xf numFmtId="166" fontId="19" fillId="0" borderId="9" xfId="1" applyNumberFormat="1" applyFont="1" applyFill="1" applyBorder="1" applyProtection="1">
      <protection locked="0" hidden="1"/>
    </xf>
    <xf numFmtId="44" fontId="19" fillId="0" borderId="20" xfId="1" applyFont="1" applyBorder="1" applyProtection="1">
      <protection locked="0" hidden="1"/>
    </xf>
    <xf numFmtId="44" fontId="19" fillId="14" borderId="22" xfId="1" applyFont="1" applyFill="1" applyBorder="1"/>
    <xf numFmtId="44" fontId="19" fillId="14" borderId="20" xfId="1" applyFont="1" applyFill="1" applyBorder="1"/>
    <xf numFmtId="44" fontId="19" fillId="0" borderId="9" xfId="1" applyFont="1" applyBorder="1"/>
    <xf numFmtId="44" fontId="19" fillId="0" borderId="20" xfId="1" applyFont="1" applyBorder="1"/>
    <xf numFmtId="44" fontId="19" fillId="14" borderId="9" xfId="1" applyFont="1" applyFill="1" applyBorder="1"/>
    <xf numFmtId="44" fontId="5" fillId="14" borderId="9" xfId="1" applyFont="1" applyFill="1" applyBorder="1"/>
    <xf numFmtId="44" fontId="5" fillId="14" borderId="20" xfId="1" applyFont="1" applyFill="1" applyBorder="1"/>
    <xf numFmtId="44" fontId="0" fillId="0" borderId="9" xfId="1" applyFont="1" applyBorder="1"/>
    <xf numFmtId="44" fontId="0" fillId="0" borderId="20" xfId="1" applyFont="1" applyBorder="1"/>
    <xf numFmtId="0" fontId="6" fillId="2" borderId="0" xfId="0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* #,##0.00_-;\-&quot;$&quot;* #,##0.00_-;_-&quot;$&quot;* &quot;-&quot;??_-;_-@_-"/>
      <border diagonalUp="0" diagonalDown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* #,##0.00_-;\-&quot;$&quot;* #,##0.00_-;_-&quot;$&quot;* &quot;-&quot;??_-;_-@_-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1"/>
    </dxf>
    <dxf>
      <numFmt numFmtId="34" formatCode="_-&quot;$&quot;* #,##0.00_-;\-&quot;$&quot;* #,##0.00_-;_-&quot;$&quot;* &quot;-&quot;??_-;_-@_-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* #,##0.00_-;\-&quot;$&quot;* #,##0.00_-;_-&quot;$&quot;* &quot;-&quot;??_-;_-@_-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numFmt numFmtId="34" formatCode="_-&quot;$&quot;* #,##0.00_-;\-&quot;$&quot;* #,##0.00_-;_-&quot;$&quot;* &quot;-&quot;??_-;_-@_-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numFmt numFmtId="34" formatCode="_-&quot;$&quot;* #,##0.00_-;\-&quot;$&quot;* #,##0.00_-;_-&quot;$&quot;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numFmt numFmtId="34" formatCode="_-&quot;$&quot;* #,##0.00_-;\-&quot;$&quot;* #,##0.00_-;_-&quot;$&quot;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* #,##0.00_-;\-&quot;$&quot;* #,##0.00_-;_-&quot;$&quot;* &quot;-&quot;??_-;_-@_-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* #,##0.00_-;\-&quot;$&quot;* #,##0.00_-;_-&quot;$&quot;* &quot;-&quot;??_-;_-@_-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1"/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4" formatCode="_-&quot;$&quot;* #,##0.00_-;\-&quot;$&quot;* #,##0.00_-;_-&quot;$&quot;* &quot;-&quot;??_-;_-@_-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* #,##0.00_-;\-&quot;$&quot;* #,##0.00_-;_-&quot;$&quot;* &quot;-&quot;??_-;_-@_-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* #,##0.00_-;\-&quot;$&quot;* #,##0.00_-;_-&quot;$&quot;* &quot;-&quot;??_-;_-@_-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$&quot;#,##0.00"/>
      <border diagonalUp="0" diagonalDown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$&quot;#,##0.00"/>
      <border diagonalUp="0" diagonalDown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1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protection locked="0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theme="0" tint="-0.24994659260841701"/>
        </top>
      </border>
    </dxf>
    <dxf>
      <border outline="0">
        <bottom style="thin">
          <color theme="0" tint="-0.24994659260841701"/>
        </bottom>
      </border>
    </dxf>
    <dxf>
      <border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 tint="0.34998626667073579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border outline="0">
        <top style="thin">
          <color theme="0" tint="-0.24994659260841701"/>
        </top>
      </border>
    </dxf>
    <dxf>
      <border outline="0">
        <bottom style="thin">
          <color theme="0" tint="-0.24994659260841701"/>
        </bottom>
      </border>
    </dxf>
    <dxf>
      <border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0.34998626667073579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0.34998626667073579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0" tint="-0.24994659260841701"/>
        </top>
      </border>
    </dxf>
    <dxf>
      <border outline="0">
        <bottom style="thin">
          <color theme="0" tint="-0.24994659260841701"/>
        </bottom>
      </border>
    </dxf>
    <dxf>
      <border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0.34998626667073579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border outline="0">
        <top style="thin">
          <color theme="0" tint="-0.24994659260841701"/>
        </top>
      </border>
    </dxf>
    <dxf>
      <border outline="0">
        <bottom style="thin">
          <color theme="0" tint="-0.24994659260841701"/>
        </bottom>
      </border>
    </dxf>
    <dxf>
      <border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0.34998626667073579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border outline="0">
        <top style="thin">
          <color theme="0" tint="-0.24994659260841701"/>
        </top>
      </border>
    </dxf>
    <dxf>
      <border outline="0">
        <bottom style="thin">
          <color theme="0" tint="-0.24994659260841701"/>
        </bottom>
      </border>
    </dxf>
    <dxf>
      <border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0.34998626667073579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border outline="0">
        <top style="thin">
          <color theme="0" tint="-0.24994659260841701"/>
        </top>
      </border>
    </dxf>
    <dxf>
      <border outline="0">
        <bottom style="thin">
          <color theme="0" tint="-0.24994659260841701"/>
        </bottom>
      </border>
    </dxf>
    <dxf>
      <border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0.34998626667073579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border outline="0">
        <top style="thin">
          <color theme="0" tint="-0.24994659260841701"/>
        </top>
      </border>
    </dxf>
    <dxf>
      <border outline="0">
        <bottom style="thin">
          <color theme="0" tint="-0.24994659260841701"/>
        </bottom>
      </border>
    </dxf>
    <dxf>
      <border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 tint="0.34998626667073579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border outline="0">
        <top style="thin">
          <color theme="0" tint="-0.24994659260841701"/>
        </top>
      </border>
    </dxf>
    <dxf>
      <border outline="0">
        <bottom style="thin">
          <color theme="0" tint="-0.24994659260841701"/>
        </bottom>
      </border>
    </dxf>
    <dxf>
      <border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0.34998626667073579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border outline="0">
        <top style="thin">
          <color theme="0" tint="-0.24994659260841701"/>
        </top>
      </border>
    </dxf>
    <dxf>
      <border outline="0">
        <bottom style="thin">
          <color theme="0" tint="-0.24994659260841701"/>
        </bottom>
      </border>
    </dxf>
    <dxf>
      <border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0.34998626667073579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border outline="0">
        <top style="thin">
          <color theme="0" tint="-0.24994659260841701"/>
        </top>
      </border>
    </dxf>
    <dxf>
      <border outline="0">
        <bottom style="thin">
          <color theme="0" tint="-0.24994659260841701"/>
        </bottom>
      </border>
    </dxf>
    <dxf>
      <border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0.34998626667073579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border outline="0">
        <top style="thin">
          <color theme="0" tint="-0.24994659260841701"/>
        </top>
      </border>
    </dxf>
    <dxf>
      <border outline="0">
        <bottom style="thin">
          <color theme="0" tint="-0.24994659260841701"/>
        </bottom>
      </border>
    </dxf>
    <dxf>
      <border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0.34998626667073579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border outline="0">
        <top style="thin">
          <color theme="0" tint="-0.24994659260841701"/>
        </top>
      </border>
    </dxf>
    <dxf>
      <border outline="0">
        <bottom style="thin">
          <color theme="0" tint="-0.24994659260841701"/>
        </bottom>
      </border>
    </dxf>
    <dxf>
      <border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0.34998626667073579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border outline="0">
        <top style="thin">
          <color theme="0" tint="-0.24994659260841701"/>
        </top>
      </border>
    </dxf>
    <dxf>
      <border outline="0">
        <bottom style="thin">
          <color theme="0" tint="-0.24994659260841701"/>
        </bottom>
      </border>
    </dxf>
    <dxf>
      <border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0.34998626667073579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1"/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protection locked="0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protection locked="0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12</xdr:row>
      <xdr:rowOff>19050</xdr:rowOff>
    </xdr:from>
    <xdr:to>
      <xdr:col>12</xdr:col>
      <xdr:colOff>533400</xdr:colOff>
      <xdr:row>16</xdr:row>
      <xdr:rowOff>9525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52D6D5A7-3CA4-46D7-9ADB-D31FEAC4DA7D}"/>
            </a:ext>
          </a:extLst>
        </xdr:cNvPr>
        <xdr:cNvSpPr/>
      </xdr:nvSpPr>
      <xdr:spPr>
        <a:xfrm>
          <a:off x="9382125" y="2305050"/>
          <a:ext cx="1276350" cy="7524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114300</xdr:colOff>
      <xdr:row>9</xdr:row>
      <xdr:rowOff>57150</xdr:rowOff>
    </xdr:from>
    <xdr:to>
      <xdr:col>7</xdr:col>
      <xdr:colOff>390525</xdr:colOff>
      <xdr:row>9</xdr:row>
      <xdr:rowOff>57150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5BAADAC2-6245-445D-8D8D-77DFC06AD49B}"/>
            </a:ext>
          </a:extLst>
        </xdr:cNvPr>
        <xdr:cNvCxnSpPr/>
      </xdr:nvCxnSpPr>
      <xdr:spPr>
        <a:xfrm>
          <a:off x="3381375" y="1771650"/>
          <a:ext cx="3324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180975</xdr:colOff>
      <xdr:row>3</xdr:row>
      <xdr:rowOff>209550</xdr:rowOff>
    </xdr:from>
    <xdr:to>
      <xdr:col>25</xdr:col>
      <xdr:colOff>647700</xdr:colOff>
      <xdr:row>6</xdr:row>
      <xdr:rowOff>47625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264C0696-5B75-4D5C-AED4-0BB188E3FA8E}"/>
            </a:ext>
          </a:extLst>
        </xdr:cNvPr>
        <xdr:cNvCxnSpPr/>
      </xdr:nvCxnSpPr>
      <xdr:spPr>
        <a:xfrm>
          <a:off x="21974175" y="781050"/>
          <a:ext cx="466725" cy="45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25</xdr:col>
      <xdr:colOff>1</xdr:colOff>
      <xdr:row>14</xdr:row>
      <xdr:rowOff>0</xdr:rowOff>
    </xdr:from>
    <xdr:to>
      <xdr:col>27</xdr:col>
      <xdr:colOff>609601</xdr:colOff>
      <xdr:row>17</xdr:row>
      <xdr:rowOff>183464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2E5230B-57F2-4AD6-BBFD-2CF923052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1" y="2714625"/>
          <a:ext cx="2133600" cy="1135964"/>
        </a:xfrm>
        <a:prstGeom prst="rect">
          <a:avLst/>
        </a:prstGeom>
      </xdr:spPr>
    </xdr:pic>
    <xdr:clientData/>
  </xdr:twoCellAnchor>
  <xdr:twoCellAnchor>
    <xdr:from>
      <xdr:col>1</xdr:col>
      <xdr:colOff>704850</xdr:colOff>
      <xdr:row>23</xdr:row>
      <xdr:rowOff>180975</xdr:rowOff>
    </xdr:from>
    <xdr:to>
      <xdr:col>2</xdr:col>
      <xdr:colOff>628650</xdr:colOff>
      <xdr:row>32</xdr:row>
      <xdr:rowOff>171450</xdr:rowOff>
    </xdr:to>
    <xdr:sp macro="" textlink="">
      <xdr:nvSpPr>
        <xdr:cNvPr id="10" name="Flecha: hacia arriba 9">
          <a:extLst>
            <a:ext uri="{FF2B5EF4-FFF2-40B4-BE49-F238E27FC236}">
              <a16:creationId xmlns:a16="http://schemas.microsoft.com/office/drawing/2014/main" id="{BE166138-8F5D-4F40-8BBC-74870B1EB686}"/>
            </a:ext>
          </a:extLst>
        </xdr:cNvPr>
        <xdr:cNvSpPr/>
      </xdr:nvSpPr>
      <xdr:spPr>
        <a:xfrm>
          <a:off x="1466850" y="4762500"/>
          <a:ext cx="1219200" cy="17049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66675</xdr:colOff>
      <xdr:row>15</xdr:row>
      <xdr:rowOff>104775</xdr:rowOff>
    </xdr:from>
    <xdr:to>
      <xdr:col>4</xdr:col>
      <xdr:colOff>428625</xdr:colOff>
      <xdr:row>16</xdr:row>
      <xdr:rowOff>447675</xdr:rowOff>
    </xdr:to>
    <xdr:sp macro="" textlink="">
      <xdr:nvSpPr>
        <xdr:cNvPr id="11" name="Cerrar llave 10">
          <a:extLst>
            <a:ext uri="{FF2B5EF4-FFF2-40B4-BE49-F238E27FC236}">
              <a16:creationId xmlns:a16="http://schemas.microsoft.com/office/drawing/2014/main" id="{C5E14AEB-FC02-4C43-8A90-E277A8A146F4}"/>
            </a:ext>
          </a:extLst>
        </xdr:cNvPr>
        <xdr:cNvSpPr/>
      </xdr:nvSpPr>
      <xdr:spPr>
        <a:xfrm>
          <a:off x="3333750" y="3162300"/>
          <a:ext cx="1123950" cy="533400"/>
        </a:xfrm>
        <a:prstGeom prst="rightBrace">
          <a:avLst>
            <a:gd name="adj1" fmla="val 8333"/>
            <a:gd name="adj2" fmla="val 178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20</xdr:col>
      <xdr:colOff>714375</xdr:colOff>
      <xdr:row>9</xdr:row>
      <xdr:rowOff>9525</xdr:rowOff>
    </xdr:from>
    <xdr:to>
      <xdr:col>25</xdr:col>
      <xdr:colOff>390525</xdr:colOff>
      <xdr:row>23</xdr:row>
      <xdr:rowOff>123825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35E26CEE-F5B5-4F64-A7FB-5CCFA1BBF953}"/>
            </a:ext>
          </a:extLst>
        </xdr:cNvPr>
        <xdr:cNvCxnSpPr/>
      </xdr:nvCxnSpPr>
      <xdr:spPr>
        <a:xfrm>
          <a:off x="18697575" y="1924050"/>
          <a:ext cx="3486150" cy="3352800"/>
        </a:xfrm>
        <a:prstGeom prst="line">
          <a:avLst/>
        </a:prstGeom>
        <a:ln w="3810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1181101</xdr:colOff>
      <xdr:row>20</xdr:row>
      <xdr:rowOff>142875</xdr:rowOff>
    </xdr:from>
    <xdr:to>
      <xdr:col>4</xdr:col>
      <xdr:colOff>638176</xdr:colOff>
      <xdr:row>21</xdr:row>
      <xdr:rowOff>209550</xdr:rowOff>
    </xdr:to>
    <xdr:sp macro="" textlink="">
      <xdr:nvSpPr>
        <xdr:cNvPr id="14" name="Cerrar llave 13">
          <a:extLst>
            <a:ext uri="{FF2B5EF4-FFF2-40B4-BE49-F238E27FC236}">
              <a16:creationId xmlns:a16="http://schemas.microsoft.com/office/drawing/2014/main" id="{4D0C0F08-E904-4822-9BBF-78E344539D19}"/>
            </a:ext>
          </a:extLst>
        </xdr:cNvPr>
        <xdr:cNvSpPr/>
      </xdr:nvSpPr>
      <xdr:spPr>
        <a:xfrm>
          <a:off x="3238501" y="4724400"/>
          <a:ext cx="1428750" cy="381000"/>
        </a:xfrm>
        <a:prstGeom prst="rightBrace">
          <a:avLst>
            <a:gd name="adj1" fmla="val 8333"/>
            <a:gd name="adj2" fmla="val 178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114300</xdr:colOff>
      <xdr:row>19</xdr:row>
      <xdr:rowOff>0</xdr:rowOff>
    </xdr:from>
    <xdr:to>
      <xdr:col>17</xdr:col>
      <xdr:colOff>723900</xdr:colOff>
      <xdr:row>22</xdr:row>
      <xdr:rowOff>76200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67165F40-690D-403B-82A5-CCE20C0C0B05}"/>
            </a:ext>
          </a:extLst>
        </xdr:cNvPr>
        <xdr:cNvSpPr/>
      </xdr:nvSpPr>
      <xdr:spPr>
        <a:xfrm>
          <a:off x="13144500" y="4476750"/>
          <a:ext cx="1371600" cy="733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16</xdr:col>
      <xdr:colOff>66675</xdr:colOff>
      <xdr:row>11</xdr:row>
      <xdr:rowOff>133350</xdr:rowOff>
    </xdr:from>
    <xdr:to>
      <xdr:col>20</xdr:col>
      <xdr:colOff>476250</xdr:colOff>
      <xdr:row>18</xdr:row>
      <xdr:rowOff>180975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D9C75232-B603-4E68-845C-12F502406662}"/>
            </a:ext>
          </a:extLst>
        </xdr:cNvPr>
        <xdr:cNvCxnSpPr/>
      </xdr:nvCxnSpPr>
      <xdr:spPr>
        <a:xfrm>
          <a:off x="13096875" y="2466975"/>
          <a:ext cx="3457575" cy="1600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485775</xdr:colOff>
      <xdr:row>3</xdr:row>
      <xdr:rowOff>133350</xdr:rowOff>
    </xdr:from>
    <xdr:to>
      <xdr:col>17</xdr:col>
      <xdr:colOff>714375</xdr:colOff>
      <xdr:row>3</xdr:row>
      <xdr:rowOff>161925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557D4D0A-5031-43CA-9254-17D72B15FF5D}"/>
            </a:ext>
          </a:extLst>
        </xdr:cNvPr>
        <xdr:cNvCxnSpPr/>
      </xdr:nvCxnSpPr>
      <xdr:spPr>
        <a:xfrm>
          <a:off x="10048875" y="752475"/>
          <a:ext cx="4457700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9525</xdr:colOff>
      <xdr:row>3</xdr:row>
      <xdr:rowOff>47625</xdr:rowOff>
    </xdr:from>
    <xdr:to>
      <xdr:col>24</xdr:col>
      <xdr:colOff>28575</xdr:colOff>
      <xdr:row>6</xdr:row>
      <xdr:rowOff>28575</xdr:rowOff>
    </xdr:to>
    <xdr:sp macro="" textlink="">
      <xdr:nvSpPr>
        <xdr:cNvPr id="7" name="Flecha: a la derecha 6">
          <a:extLst>
            <a:ext uri="{FF2B5EF4-FFF2-40B4-BE49-F238E27FC236}">
              <a16:creationId xmlns:a16="http://schemas.microsoft.com/office/drawing/2014/main" id="{89813FDD-ABB3-4012-B5C4-9654FE781E40}"/>
            </a:ext>
          </a:extLst>
        </xdr:cNvPr>
        <xdr:cNvSpPr/>
      </xdr:nvSpPr>
      <xdr:spPr>
        <a:xfrm>
          <a:off x="18373725" y="666750"/>
          <a:ext cx="781050" cy="638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447676</xdr:colOff>
      <xdr:row>3</xdr:row>
      <xdr:rowOff>276225</xdr:rowOff>
    </xdr:from>
    <xdr:to>
      <xdr:col>27</xdr:col>
      <xdr:colOff>295275</xdr:colOff>
      <xdr:row>4</xdr:row>
      <xdr:rowOff>114300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FAA7C7B4-984F-455C-A553-806214D953E3}"/>
            </a:ext>
          </a:extLst>
        </xdr:cNvPr>
        <xdr:cNvCxnSpPr/>
      </xdr:nvCxnSpPr>
      <xdr:spPr>
        <a:xfrm flipH="1" flipV="1">
          <a:off x="5781676" y="904875"/>
          <a:ext cx="17478374" cy="4191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104775</xdr:colOff>
      <xdr:row>4</xdr:row>
      <xdr:rowOff>9525</xdr:rowOff>
    </xdr:from>
    <xdr:to>
      <xdr:col>39</xdr:col>
      <xdr:colOff>38100</xdr:colOff>
      <xdr:row>9</xdr:row>
      <xdr:rowOff>19050</xdr:rowOff>
    </xdr:to>
    <xdr:sp macro="" textlink="">
      <xdr:nvSpPr>
        <xdr:cNvPr id="11" name="Flecha: a la derecha 10">
          <a:extLst>
            <a:ext uri="{FF2B5EF4-FFF2-40B4-BE49-F238E27FC236}">
              <a16:creationId xmlns:a16="http://schemas.microsoft.com/office/drawing/2014/main" id="{88D011D4-1EEA-407F-BA1B-BDE82F9F7B1D}"/>
            </a:ext>
          </a:extLst>
        </xdr:cNvPr>
        <xdr:cNvSpPr/>
      </xdr:nvSpPr>
      <xdr:spPr>
        <a:xfrm>
          <a:off x="30689550" y="1219200"/>
          <a:ext cx="1457325" cy="10477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2171700</xdr:colOff>
      <xdr:row>8</xdr:row>
      <xdr:rowOff>95250</xdr:rowOff>
    </xdr:from>
    <xdr:to>
      <xdr:col>1</xdr:col>
      <xdr:colOff>762000</xdr:colOff>
      <xdr:row>12</xdr:row>
      <xdr:rowOff>476250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53FBA4F9-F629-4FC8-AA5C-65C94C2B4BBA}"/>
            </a:ext>
          </a:extLst>
        </xdr:cNvPr>
        <xdr:cNvCxnSpPr/>
      </xdr:nvCxnSpPr>
      <xdr:spPr>
        <a:xfrm>
          <a:off x="2171700" y="1619250"/>
          <a:ext cx="1114425" cy="114300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2057400</xdr:colOff>
      <xdr:row>9</xdr:row>
      <xdr:rowOff>95250</xdr:rowOff>
    </xdr:from>
    <xdr:to>
      <xdr:col>2</xdr:col>
      <xdr:colOff>600075</xdr:colOff>
      <xdr:row>12</xdr:row>
      <xdr:rowOff>428625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176D8BF1-7963-4068-BFFA-58E59A7C5BA9}"/>
            </a:ext>
          </a:extLst>
        </xdr:cNvPr>
        <xdr:cNvCxnSpPr/>
      </xdr:nvCxnSpPr>
      <xdr:spPr>
        <a:xfrm>
          <a:off x="2057400" y="1809750"/>
          <a:ext cx="2095500" cy="90487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</xdr:colOff>
      <xdr:row>6</xdr:row>
      <xdr:rowOff>114300</xdr:rowOff>
    </xdr:from>
    <xdr:to>
      <xdr:col>4</xdr:col>
      <xdr:colOff>695325</xdr:colOff>
      <xdr:row>14</xdr:row>
      <xdr:rowOff>28575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F22CCEBF-1DAE-4CA2-9E1C-71B058728173}"/>
            </a:ext>
          </a:extLst>
        </xdr:cNvPr>
        <xdr:cNvCxnSpPr/>
      </xdr:nvCxnSpPr>
      <xdr:spPr>
        <a:xfrm flipH="1" flipV="1">
          <a:off x="4848225" y="1257300"/>
          <a:ext cx="1914525" cy="1819275"/>
        </a:xfrm>
        <a:prstGeom prst="straightConnector1">
          <a:avLst/>
        </a:prstGeom>
        <a:ln w="28575">
          <a:solidFill>
            <a:schemeClr val="accent4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1381125</xdr:colOff>
      <xdr:row>4</xdr:row>
      <xdr:rowOff>28575</xdr:rowOff>
    </xdr:from>
    <xdr:to>
      <xdr:col>1</xdr:col>
      <xdr:colOff>466725</xdr:colOff>
      <xdr:row>17</xdr:row>
      <xdr:rowOff>85725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1106F1D2-A7F7-458E-BE81-8A4C88BD2FCC}"/>
            </a:ext>
          </a:extLst>
        </xdr:cNvPr>
        <xdr:cNvCxnSpPr/>
      </xdr:nvCxnSpPr>
      <xdr:spPr>
        <a:xfrm flipH="1" flipV="1">
          <a:off x="1381125" y="790575"/>
          <a:ext cx="1609725" cy="2914650"/>
        </a:xfrm>
        <a:prstGeom prst="straightConnector1">
          <a:avLst/>
        </a:prstGeom>
        <a:ln w="38100">
          <a:solidFill>
            <a:schemeClr val="bg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981075</xdr:colOff>
      <xdr:row>7</xdr:row>
      <xdr:rowOff>38100</xdr:rowOff>
    </xdr:from>
    <xdr:to>
      <xdr:col>5</xdr:col>
      <xdr:colOff>1752600</xdr:colOff>
      <xdr:row>13</xdr:row>
      <xdr:rowOff>71707</xdr:rowOff>
    </xdr:to>
    <xdr:sp macro="" textlink="">
      <xdr:nvSpPr>
        <xdr:cNvPr id="14" name="Flecha: hacia abajo 13">
          <a:extLst>
            <a:ext uri="{FF2B5EF4-FFF2-40B4-BE49-F238E27FC236}">
              <a16:creationId xmlns:a16="http://schemas.microsoft.com/office/drawing/2014/main" id="{A026A37D-978A-403C-A416-E09F10E50731}"/>
            </a:ext>
          </a:extLst>
        </xdr:cNvPr>
        <xdr:cNvSpPr/>
      </xdr:nvSpPr>
      <xdr:spPr>
        <a:xfrm>
          <a:off x="8058150" y="1371600"/>
          <a:ext cx="771525" cy="155760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295275</xdr:colOff>
      <xdr:row>2</xdr:row>
      <xdr:rowOff>28575</xdr:rowOff>
    </xdr:from>
    <xdr:to>
      <xdr:col>7</xdr:col>
      <xdr:colOff>428625</xdr:colOff>
      <xdr:row>12</xdr:row>
      <xdr:rowOff>266700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2F7FFE02-AF65-4661-BDBB-F63D117A2312}"/>
            </a:ext>
          </a:extLst>
        </xdr:cNvPr>
        <xdr:cNvCxnSpPr/>
      </xdr:nvCxnSpPr>
      <xdr:spPr>
        <a:xfrm flipV="1">
          <a:off x="9925050" y="409575"/>
          <a:ext cx="1009650" cy="2143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495300</xdr:colOff>
      <xdr:row>4</xdr:row>
      <xdr:rowOff>76201</xdr:rowOff>
    </xdr:from>
    <xdr:to>
      <xdr:col>8</xdr:col>
      <xdr:colOff>333375</xdr:colOff>
      <xdr:row>13</xdr:row>
      <xdr:rowOff>57150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D38F3DEE-8F20-40A9-A93C-BEFDF301190E}"/>
            </a:ext>
          </a:extLst>
        </xdr:cNvPr>
        <xdr:cNvCxnSpPr/>
      </xdr:nvCxnSpPr>
      <xdr:spPr>
        <a:xfrm flipV="1">
          <a:off x="11001375" y="838201"/>
          <a:ext cx="876300" cy="20764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361950</xdr:colOff>
      <xdr:row>4</xdr:row>
      <xdr:rowOff>104775</xdr:rowOff>
    </xdr:from>
    <xdr:to>
      <xdr:col>17</xdr:col>
      <xdr:colOff>542925</xdr:colOff>
      <xdr:row>9</xdr:row>
      <xdr:rowOff>0</xdr:rowOff>
    </xdr:to>
    <xdr:sp macro="" textlink="">
      <xdr:nvSpPr>
        <xdr:cNvPr id="23" name="Cerrar llave 22">
          <a:extLst>
            <a:ext uri="{FF2B5EF4-FFF2-40B4-BE49-F238E27FC236}">
              <a16:creationId xmlns:a16="http://schemas.microsoft.com/office/drawing/2014/main" id="{EFC17AF8-339B-4C8A-8BC0-69F24CA19905}"/>
            </a:ext>
          </a:extLst>
        </xdr:cNvPr>
        <xdr:cNvSpPr/>
      </xdr:nvSpPr>
      <xdr:spPr>
        <a:xfrm rot="16200000">
          <a:off x="18973800" y="733425"/>
          <a:ext cx="847725" cy="11144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619125</xdr:colOff>
      <xdr:row>10</xdr:row>
      <xdr:rowOff>180975</xdr:rowOff>
    </xdr:from>
    <xdr:to>
      <xdr:col>13</xdr:col>
      <xdr:colOff>866775</xdr:colOff>
      <xdr:row>12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A7F4CA8-06D8-43CE-9850-03136B135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35150" y="2085975"/>
          <a:ext cx="247650" cy="2476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361950</xdr:colOff>
      <xdr:row>1</xdr:row>
      <xdr:rowOff>156800</xdr:rowOff>
    </xdr:from>
    <xdr:to>
      <xdr:col>35</xdr:col>
      <xdr:colOff>552450</xdr:colOff>
      <xdr:row>38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850514-65AE-4970-87FA-F95FCB037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05950" y="347300"/>
          <a:ext cx="17716500" cy="700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685800</xdr:colOff>
      <xdr:row>18</xdr:row>
      <xdr:rowOff>123825</xdr:rowOff>
    </xdr:from>
    <xdr:to>
      <xdr:col>12</xdr:col>
      <xdr:colOff>180975</xdr:colOff>
      <xdr:row>18</xdr:row>
      <xdr:rowOff>142875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DD4A36CF-5F35-495B-94BD-D8477A72158A}"/>
            </a:ext>
          </a:extLst>
        </xdr:cNvPr>
        <xdr:cNvCxnSpPr/>
      </xdr:nvCxnSpPr>
      <xdr:spPr>
        <a:xfrm flipH="1">
          <a:off x="7543800" y="3552825"/>
          <a:ext cx="17811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714375</xdr:colOff>
      <xdr:row>16</xdr:row>
      <xdr:rowOff>66675</xdr:rowOff>
    </xdr:from>
    <xdr:to>
      <xdr:col>12</xdr:col>
      <xdr:colOff>209550</xdr:colOff>
      <xdr:row>16</xdr:row>
      <xdr:rowOff>85725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526FD1B8-ECA2-457E-BAC7-884E5EEF51C1}"/>
            </a:ext>
          </a:extLst>
        </xdr:cNvPr>
        <xdr:cNvCxnSpPr/>
      </xdr:nvCxnSpPr>
      <xdr:spPr>
        <a:xfrm flipH="1">
          <a:off x="7572375" y="3114675"/>
          <a:ext cx="17811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</xdr:colOff>
      <xdr:row>4</xdr:row>
      <xdr:rowOff>57150</xdr:rowOff>
    </xdr:from>
    <xdr:to>
      <xdr:col>12</xdr:col>
      <xdr:colOff>295275</xdr:colOff>
      <xdr:row>4</xdr:row>
      <xdr:rowOff>76200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1CDA4CF9-F4A1-4DDF-8401-847E422645E4}"/>
            </a:ext>
          </a:extLst>
        </xdr:cNvPr>
        <xdr:cNvCxnSpPr/>
      </xdr:nvCxnSpPr>
      <xdr:spPr>
        <a:xfrm flipH="1">
          <a:off x="7658100" y="819150"/>
          <a:ext cx="17811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5</xdr:row>
      <xdr:rowOff>0</xdr:rowOff>
    </xdr:from>
    <xdr:to>
      <xdr:col>11</xdr:col>
      <xdr:colOff>571500</xdr:colOff>
      <xdr:row>15</xdr:row>
      <xdr:rowOff>47625</xdr:rowOff>
    </xdr:to>
    <xdr:sp macro="" textlink="">
      <xdr:nvSpPr>
        <xdr:cNvPr id="9" name="Abrir llave 8">
          <a:extLst>
            <a:ext uri="{FF2B5EF4-FFF2-40B4-BE49-F238E27FC236}">
              <a16:creationId xmlns:a16="http://schemas.microsoft.com/office/drawing/2014/main" id="{24BCEF67-67F1-4ABC-810F-7DE5529D5587}"/>
            </a:ext>
          </a:extLst>
        </xdr:cNvPr>
        <xdr:cNvSpPr/>
      </xdr:nvSpPr>
      <xdr:spPr>
        <a:xfrm>
          <a:off x="8391525" y="952500"/>
          <a:ext cx="561975" cy="1952625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omina%20celestolite%202023/nomina%20celestolite%202024/NOMINAS%202025/JUNIO/VENTAS%20JULIO%20OPATRA%20MEXIC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TA"/>
      <sheetName val="MITIKAH"/>
      <sheetName val="INSURGENTES"/>
      <sheetName val="OPATRA"/>
      <sheetName val="MIYANA"/>
      <sheetName val="totales por dia vendedor"/>
      <sheetName val="TOTAL VENDEDORES"/>
      <sheetName val="pago quincenal  1 al 15"/>
      <sheetName val="TOTALES"/>
      <sheetName val="NOMINA ESPECIAL "/>
      <sheetName val="pago quincenal  1 AL 15 FISCAL"/>
      <sheetName val="BONOS MENSUALES GERENTES"/>
      <sheetName val="comisiones 1 AL 15 "/>
      <sheetName val="SUMARY"/>
      <sheetName val="DESGLOSE DE NOMINA"/>
      <sheetName val="RECIBOS"/>
      <sheetName val="BONOS Y MULTAS."/>
      <sheetName val="BANCOS"/>
      <sheetName val="CALCULOS"/>
      <sheetName val="BALANCE GENERAL"/>
      <sheetName val="NOMBRES DE VENDEDORES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68DB61-FBC7-477B-A625-3FF5A19693D3}" name="Tabla25" displayName="Tabla25" ref="B7:C23" totalsRowShown="0" headerRowDxfId="101" dataDxfId="100" headerRowBorderDxfId="98" tableBorderDxfId="99">
  <autoFilter ref="B7:C23" xr:uid="{DB68DB61-FBC7-477B-A625-3FF5A19693D3}"/>
  <tableColumns count="2">
    <tableColumn id="1" xr3:uid="{2B3D0DF1-E8FE-4158-B6AC-9BF7DF8D871E}" name="BONOS" dataDxfId="97"/>
    <tableColumn id="2" xr3:uid="{26F80662-439F-4CED-A7B3-08C4487DBA83}" name="MONTO" dataDxfId="9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52D7DD-6115-4481-8C08-5CF69115E815}" name="RANGO7" displayName="RANGO7" ref="I45:K49" totalsRowShown="0" headerRowDxfId="95" headerRowBorderDxfId="93" tableBorderDxfId="94" totalsRowBorderDxfId="92">
  <autoFilter ref="I45:K49" xr:uid="{4E52D7DD-6115-4481-8C08-5CF69115E815}"/>
  <tableColumns count="3">
    <tableColumn id="1" xr3:uid="{ACE1EC84-C34C-48E3-B914-0378E46A97C9}" name="De"/>
    <tableColumn id="2" xr3:uid="{56916304-98ED-41EE-93BC-BCDAC026C137}" name="Hasta"/>
    <tableColumn id="3" xr3:uid="{A72EE5B9-B177-46D7-BF65-996259A619CE}" name="Tasa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91D4F7-2DDF-4F4F-BE1A-71272B1F7112}" name="RANGO6" displayName="RANGO6" ref="I39:K42" totalsRowShown="0" headerRowDxfId="91" headerRowBorderDxfId="89" tableBorderDxfId="90" totalsRowBorderDxfId="88">
  <autoFilter ref="I39:K42" xr:uid="{A891D4F7-2DDF-4F4F-BE1A-71272B1F7112}"/>
  <tableColumns count="3">
    <tableColumn id="1" xr3:uid="{E1C57978-343A-4152-8A7C-11491B0C43CE}" name="De"/>
    <tableColumn id="2" xr3:uid="{C1E22766-0ABA-4867-AEF4-F1F80B8F8A52}" name="Hasta"/>
    <tableColumn id="3" xr3:uid="{B44E4E56-5A5A-4DBB-83AE-267163CB05F9}" name="Tasa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26291F-EC2D-4389-AD76-5B4AA97F2058}" name="RANGO5" displayName="RANGO5" ref="I32:K35" totalsRowShown="0" headerRowDxfId="87" headerRowBorderDxfId="85" tableBorderDxfId="86" totalsRowBorderDxfId="84">
  <autoFilter ref="I32:K35" xr:uid="{1E26291F-EC2D-4389-AD76-5B4AA97F2058}"/>
  <tableColumns count="3">
    <tableColumn id="1" xr3:uid="{58EFAED9-D534-46BE-8F16-0F2C9F7D7C83}" name="De"/>
    <tableColumn id="2" xr3:uid="{BAE163EE-4713-4682-925A-CBD671B844D8}" name="Hasta"/>
    <tableColumn id="3" xr3:uid="{9DACBFEF-F875-4F8B-80F4-AB37F799DCF7}" name="Tasa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EDD466-DB82-4D04-A142-A87E9CF65995}" name="RANGO4" displayName="RANGO4" ref="I25:K28" totalsRowShown="0" headerRowDxfId="83" headerRowBorderDxfId="81" tableBorderDxfId="82" totalsRowBorderDxfId="80">
  <autoFilter ref="I25:K28" xr:uid="{0BEDD466-DB82-4D04-A142-A87E9CF65995}"/>
  <tableColumns count="3">
    <tableColumn id="1" xr3:uid="{3B0CA968-EED8-4C94-A79B-585BFDC25B7E}" name="De"/>
    <tableColumn id="2" xr3:uid="{1912A3EC-F95A-480E-8ED1-5A078E9C41A7}" name="Hasta"/>
    <tableColumn id="3" xr3:uid="{65DB7EB4-1D67-421F-B2BC-AF92F8BAB1C9}" name="Tasa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C3607C-14A3-4EA4-A5A5-E9D9D14AE78F}" name="RANGO3." displayName="RANGO3." ref="I18:K21" totalsRowShown="0" headerRowDxfId="79" headerRowBorderDxfId="77" tableBorderDxfId="78" totalsRowBorderDxfId="76">
  <autoFilter ref="I18:K21" xr:uid="{DFC3607C-14A3-4EA4-A5A5-E9D9D14AE78F}"/>
  <tableColumns count="3">
    <tableColumn id="1" xr3:uid="{289338B6-F9A1-44A9-8D8E-4D3DA78C11BA}" name="De"/>
    <tableColumn id="2" xr3:uid="{5A44502D-4AAF-43CC-B14C-DFF91F98C730}" name="Hasta"/>
    <tableColumn id="3" xr3:uid="{4AED49D7-95CF-4716-8352-F204B7CE7612}" name="Tasa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DAC437B-D040-499B-AB55-6A5CC3AE5BFD}" name="RANGO2" displayName="RANGO2" ref="I11:K14" totalsRowShown="0" headerRowDxfId="75" headerRowBorderDxfId="73" tableBorderDxfId="74" totalsRowBorderDxfId="72">
  <autoFilter ref="I11:K14" xr:uid="{2DAC437B-D040-499B-AB55-6A5CC3AE5BFD}"/>
  <tableColumns count="3">
    <tableColumn id="1" xr3:uid="{2AFDB0FF-7A09-46EB-99DB-C25A7D7DCB42}" name="De"/>
    <tableColumn id="2" xr3:uid="{4E0C89C4-BC79-4FD8-A1AB-81572AEF1360}" name="Hasta"/>
    <tableColumn id="3" xr3:uid="{ACC0D5CB-0C14-4D0C-B877-945ACB1AAE41}" name="Tasa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6ABE132-C63C-47FF-9812-27D72240796E}" name="RANGO1" displayName="RANGO1" ref="I4:K7" totalsRowShown="0" headerRowDxfId="71" headerRowBorderDxfId="69" tableBorderDxfId="70" totalsRowBorderDxfId="68">
  <autoFilter ref="I4:K7" xr:uid="{76ABE132-C63C-47FF-9812-27D72240796E}"/>
  <tableColumns count="3">
    <tableColumn id="1" xr3:uid="{BA30CC0A-B37D-4461-B56C-7B8CEB056483}" name="De"/>
    <tableColumn id="2" xr3:uid="{4E61C32F-BBD8-426E-9BBD-F08659A1C478}" name="Hasta"/>
    <tableColumn id="3" xr3:uid="{F7DA19EB-4D49-46C1-A2EB-8185D5693CBD}" name="Tasa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1C62AFD-84CF-4FF0-8886-F76163A11D4B}" name="FACIALISTA28" displayName="FACIALISTA28" ref="N48:P51" totalsRowShown="0" headerRowDxfId="67" headerRowBorderDxfId="65" tableBorderDxfId="66" totalsRowBorderDxfId="64">
  <autoFilter ref="N48:P51" xr:uid="{01C62AFD-84CF-4FF0-8886-F76163A11D4B}"/>
  <tableColumns count="3">
    <tableColumn id="1" xr3:uid="{0693BCF3-5C8D-4838-83E9-990BB79E3291}" name="De"/>
    <tableColumn id="2" xr3:uid="{2321B088-2D1F-4B4D-8CDD-C6D810CC3658}" name="Hasta"/>
    <tableColumn id="3" xr3:uid="{0D6E3FF3-3B1D-46B8-8BFD-B811FA0486A0}" name="Tasa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120A623-D32E-4308-ACCC-555F3F64DE81}" name="RANGO729" displayName="RANGO729" ref="N42:P45" totalsRowShown="0" headerRowDxfId="63" headerRowBorderDxfId="61" tableBorderDxfId="62" totalsRowBorderDxfId="60">
  <autoFilter ref="N42:P45" xr:uid="{3120A623-D32E-4308-ACCC-555F3F64DE81}"/>
  <tableColumns count="3">
    <tableColumn id="1" xr3:uid="{84BAD3CD-99A7-4E29-A2A8-34CFC834AC6E}" name="De"/>
    <tableColumn id="2" xr3:uid="{6B188DF7-8F44-4B50-B677-4FA250A56B73}" name="Hasta"/>
    <tableColumn id="3" xr3:uid="{1A8D5256-1667-4EFB-AD59-F41AFCFF9146}" name="Tasa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BADE7BB-8495-4164-8D7C-E008752A81BB}" name="RANGO530" displayName="RANGO530" ref="N35:P38" totalsRowShown="0" headerRowDxfId="59" headerRowBorderDxfId="57" tableBorderDxfId="58" totalsRowBorderDxfId="56">
  <autoFilter ref="N35:P38" xr:uid="{4BADE7BB-8495-4164-8D7C-E008752A81BB}"/>
  <tableColumns count="3">
    <tableColumn id="1" xr3:uid="{FB579F9E-94F3-497F-98A2-E9885488DEC3}" name="De"/>
    <tableColumn id="2" xr3:uid="{0D5A718D-2D35-4A44-92D0-BDBD1DB4868F}" name="Hasta"/>
    <tableColumn id="3" xr3:uid="{5413E20F-CA08-456F-B343-E915DB286B40}" name="Tasa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63E38FD-4B02-4C08-948C-A5D6EC099C7A}" name="RANGO431" displayName="RANGO431" ref="N28:P31" totalsRowShown="0" headerRowDxfId="55" headerRowBorderDxfId="53" tableBorderDxfId="54" totalsRowBorderDxfId="52">
  <autoFilter ref="N28:P31" xr:uid="{563E38FD-4B02-4C08-948C-A5D6EC099C7A}"/>
  <tableColumns count="3">
    <tableColumn id="1" xr3:uid="{CEB8A0BA-22F9-4ED6-BA8D-52721EDEE4A2}" name="De"/>
    <tableColumn id="2" xr3:uid="{1650BF00-90C3-4067-ADF9-5407C2026075}" name="Hasta"/>
    <tableColumn id="3" xr3:uid="{E1ECAECF-66C4-4BE7-8864-080C2EFC83AB}" name="Tasa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160E57D-D15C-4153-8452-657AAEED73B8}" name="RANGO11" displayName="RANGO11" ref="N18:P24" totalsRowShown="0" headerRowDxfId="51" headerRowBorderDxfId="49" tableBorderDxfId="50" totalsRowBorderDxfId="48">
  <autoFilter ref="N18:P24" xr:uid="{7160E57D-D15C-4153-8452-657AAEED73B8}"/>
  <tableColumns count="3">
    <tableColumn id="1" xr3:uid="{76CFF7DB-9EF5-424E-BEC8-8128841C7037}" name="De" dataDxfId="47"/>
    <tableColumn id="2" xr3:uid="{30DF7FB6-B056-4018-ABA5-424963C4252C}" name="Hasta" dataDxfId="46"/>
    <tableColumn id="3" xr3:uid="{6EE17FE7-67F4-42D1-91BD-3ED74A303E8F}" name="Tasa" dataDxfId="45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C98504D-98D0-41B1-8692-3CA7BBE2AF34}" name="RANGO10" displayName="RANGO10" ref="N11:P14" totalsRowShown="0" headerRowDxfId="44" headerRowBorderDxfId="42" tableBorderDxfId="43" totalsRowBorderDxfId="41">
  <autoFilter ref="N11:P14" xr:uid="{0C98504D-98D0-41B1-8692-3CA7BBE2AF34}"/>
  <tableColumns count="3">
    <tableColumn id="1" xr3:uid="{C75146FF-52B2-42D5-B9AE-6BF45F9829AE}" name="De"/>
    <tableColumn id="2" xr3:uid="{764EA61A-AE14-429C-AB8F-7EC0ABA49620}" name="Hasta"/>
    <tableColumn id="3" xr3:uid="{FF6FF9F6-AAFE-45F1-AEA4-C6FA0D028D38}" name="Tasa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D844397-6677-4ED6-98ED-291EB1B07EF2}" name="RANGO9" displayName="RANGO9" ref="N4:P7" totalsRowShown="0" headerRowDxfId="40" headerRowBorderDxfId="38" tableBorderDxfId="39" totalsRowBorderDxfId="37">
  <autoFilter ref="N4:P7" xr:uid="{2D844397-6677-4ED6-98ED-291EB1B07EF2}"/>
  <tableColumns count="3">
    <tableColumn id="1" xr3:uid="{C9076497-9DA2-4395-8BC3-1E9DF945E7DE}" name="De"/>
    <tableColumn id="2" xr3:uid="{85544298-A10E-4BD0-9DA7-F46DED57EAA1}" name="Hasta"/>
    <tableColumn id="3" xr3:uid="{900F321B-1821-4CC5-B7BC-93F81555D703}" name="Tasa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2F4331E-1F99-4762-B30C-F43E5689C035}" name="SUMARY" displayName="SUMARY" ref="A13:T51" totalsRowShown="0" headerRowDxfId="36" dataDxfId="35" headerRowBorderDxfId="33" tableBorderDxfId="34" totalsRowBorderDxfId="32">
  <autoFilter ref="A13:T51" xr:uid="{F41C11AD-5C29-4899-9FA6-A9126DD79998}"/>
  <sortState xmlns:xlrd2="http://schemas.microsoft.com/office/spreadsheetml/2017/richdata2" ref="A14:T50">
    <sortCondition ref="A13:A51"/>
  </sortState>
  <tableColumns count="20">
    <tableColumn id="1" xr3:uid="{F9E043DC-68AD-46C1-B5C7-EC64DE3139C7}" name="Empleado" dataDxfId="31"/>
    <tableColumn id="4" xr3:uid="{105EA12A-C3DA-4A9F-990D-E00FD3762BF6}" name="Ventas Con IVA" dataDxfId="30" dataCellStyle="Moneda"/>
    <tableColumn id="5" xr3:uid="{831EE20D-C32A-4334-AA94-BFF4D8006720}" name="Ventas Sin IVA" dataDxfId="29" dataCellStyle="Moneda"/>
    <tableColumn id="6" xr3:uid="{68B20C4D-AF7C-44AD-BF92-422AE757DF7F}" name="Esquema de pago" dataDxfId="28" dataCellStyle="Moneda"/>
    <tableColumn id="7" xr3:uid="{629385A9-1214-4B26-A1E9-968F6734CF67}" name="Porcentaje Individual" dataDxfId="27" dataCellStyle="Moneda"/>
    <tableColumn id="8" xr3:uid="{69BF5C73-F849-41FF-8F24-3985FF785B22}" name="Comisiones Individual" dataDxfId="26" dataCellStyle="Moneda"/>
    <tableColumn id="9" xr3:uid="{35CDA24F-6273-497E-AF6B-D1B6CB5D5FB4}" name="Ajuste +" dataDxfId="25" dataCellStyle="Moneda"/>
    <tableColumn id="10" xr3:uid="{296C31EB-5926-40D8-BE3E-FEF04B4923E2}" name="Ajuste de -" dataDxfId="24" dataCellStyle="Moneda"/>
    <tableColumn id="11" xr3:uid="{5D2C0B74-6DF3-4D7B-8429-4C1458F5C9C9}" name="Comisiones Kiosco" dataDxfId="23"/>
    <tableColumn id="12" xr3:uid="{820B6906-AC7D-43B8-B6E1-70780099C4CD}" name="% Por Kiosko" dataDxfId="22" dataCellStyle="Porcentaje"/>
    <tableColumn id="13" xr3:uid="{FE46189E-295A-431E-9049-7645E4CE7EF9}" name="Pago antes de retenciones" dataDxfId="21" dataCellStyle="Moneda"/>
    <tableColumn id="14" xr3:uid="{B2E9EE6B-FE92-4754-980D-B784CB8CD0C8}" name="RETENCIONES" dataDxfId="20" dataCellStyle="Moneda"/>
    <tableColumn id="16" xr3:uid="{B71AA5EC-D0B9-435E-93E0-BBC8EE2C2A09}" name="Total Pago" dataDxfId="19" dataCellStyle="Moneda"/>
    <tableColumn id="17" xr3:uid="{1BCE52E3-8FA9-413A-96D6-5E7354FDBC2C}" name="Bono" dataDxfId="18" dataCellStyle="Moneda"/>
    <tableColumn id="18" xr3:uid="{712FEE53-9B02-4944-AFE0-F87EF433842F}" name="Multa" dataDxfId="17" dataCellStyle="Moneda"/>
    <tableColumn id="20" xr3:uid="{59B448F2-1889-4317-8CF9-0078C32B29E6}" name="Sueldo base" dataDxfId="16" dataCellStyle="Moneda"/>
    <tableColumn id="21" xr3:uid="{EAAECA8D-96D0-423C-8807-340CB550DC39}" name="Prestamo" dataDxfId="15" dataCellStyle="Moneda"/>
    <tableColumn id="22" xr3:uid="{40A628B3-9200-433F-9618-7C0A5748496E}" name="Pago Prestamo" dataDxfId="14"/>
    <tableColumn id="24" xr3:uid="{E5AD3F62-5812-403B-80C0-416EBC5FBDA2}" name="Ajuste Nomina +" dataDxfId="13" dataCellStyle="Moneda"/>
    <tableColumn id="25" xr3:uid="{0900F763-9250-4948-A8CC-EB5A3CF0F15A}" name="Ajuste Nomina -" dataDxfId="12" dataCellStyle="Moneda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drawing" Target="../drawings/drawing2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FE8A6-8CC4-443E-98F0-F847186936F0}">
  <sheetPr codeName="Hoja1"/>
  <dimension ref="B2:AG46"/>
  <sheetViews>
    <sheetView showGridLines="0" workbookViewId="0"/>
  </sheetViews>
  <sheetFormatPr baseColWidth="10" defaultRowHeight="15" x14ac:dyDescent="0.25"/>
  <cols>
    <col min="2" max="2" width="19.42578125" customWidth="1"/>
    <col min="3" max="3" width="18.140625" customWidth="1"/>
    <col min="20" max="20" width="37.85546875" bestFit="1" customWidth="1"/>
    <col min="23" max="23" width="22.28515625" bestFit="1" customWidth="1"/>
  </cols>
  <sheetData>
    <row r="2" spans="2:28" ht="21" x14ac:dyDescent="0.35">
      <c r="N2" s="97" t="s">
        <v>107</v>
      </c>
      <c r="O2" s="97"/>
      <c r="P2" s="97"/>
      <c r="Q2" s="97"/>
      <c r="R2" s="97"/>
      <c r="S2" t="s">
        <v>104</v>
      </c>
      <c r="T2" t="s">
        <v>105</v>
      </c>
      <c r="U2" t="s">
        <v>106</v>
      </c>
      <c r="V2" t="s">
        <v>105</v>
      </c>
    </row>
    <row r="3" spans="2:28" ht="21" x14ac:dyDescent="0.35">
      <c r="B3" t="s">
        <v>16</v>
      </c>
      <c r="N3" s="97" t="s">
        <v>108</v>
      </c>
      <c r="O3" s="97"/>
      <c r="P3" s="97"/>
      <c r="Q3" s="97"/>
      <c r="R3" s="97"/>
    </row>
    <row r="4" spans="2:28" ht="18.75" x14ac:dyDescent="0.3">
      <c r="B4" t="s">
        <v>17</v>
      </c>
      <c r="T4" s="87" t="s">
        <v>80</v>
      </c>
      <c r="U4" s="88" t="s">
        <v>1</v>
      </c>
      <c r="V4" s="88" t="s">
        <v>81</v>
      </c>
      <c r="W4" s="89" t="s">
        <v>82</v>
      </c>
      <c r="X4" s="90" t="s">
        <v>83</v>
      </c>
      <c r="Y4" t="s">
        <v>98</v>
      </c>
      <c r="Z4" s="96" t="s">
        <v>99</v>
      </c>
    </row>
    <row r="5" spans="2:28" x14ac:dyDescent="0.25">
      <c r="T5" s="57" t="s">
        <v>43</v>
      </c>
      <c r="U5" s="91">
        <f>+IFERROR(VLOOKUP([1]!Tabla23[[#This Row],[BONO]],#REF!,2,FALSE),0)</f>
        <v>0</v>
      </c>
      <c r="V5" s="91" t="s">
        <v>3</v>
      </c>
      <c r="W5" s="58" t="s">
        <v>84</v>
      </c>
      <c r="X5" s="92">
        <v>45809</v>
      </c>
    </row>
    <row r="6" spans="2:28" x14ac:dyDescent="0.25">
      <c r="T6" s="74" t="s">
        <v>85</v>
      </c>
      <c r="U6" s="93">
        <f>+IFERROR(VLOOKUP([1]!Tabla23[[#This Row],[BONO]],#REF!,2,FALSE),0)</f>
        <v>0</v>
      </c>
      <c r="V6" s="93" t="s">
        <v>3</v>
      </c>
      <c r="W6" s="75" t="s">
        <v>86</v>
      </c>
      <c r="X6" s="94">
        <v>45809</v>
      </c>
    </row>
    <row r="7" spans="2:28" x14ac:dyDescent="0.25">
      <c r="B7" s="1" t="s">
        <v>0</v>
      </c>
      <c r="C7" s="1" t="s">
        <v>1</v>
      </c>
      <c r="T7" s="57" t="s">
        <v>43</v>
      </c>
      <c r="U7" s="91">
        <f>+IFERROR(VLOOKUP([1]!Tabla23[[#This Row],[BONO]],#REF!,2,FALSE),0)</f>
        <v>0</v>
      </c>
      <c r="V7" s="91" t="s">
        <v>5</v>
      </c>
      <c r="W7" s="58" t="s">
        <v>84</v>
      </c>
      <c r="X7" s="92">
        <v>45809</v>
      </c>
      <c r="AA7" t="s">
        <v>100</v>
      </c>
    </row>
    <row r="8" spans="2:28" x14ac:dyDescent="0.25">
      <c r="B8" s="1" t="s">
        <v>2</v>
      </c>
      <c r="C8" s="2">
        <v>100</v>
      </c>
      <c r="N8" s="95" t="s">
        <v>97</v>
      </c>
      <c r="O8" s="95"/>
      <c r="P8" s="95"/>
      <c r="Q8" s="95"/>
      <c r="R8" s="95"/>
      <c r="T8" s="74" t="s">
        <v>47</v>
      </c>
      <c r="U8" s="149">
        <v>100</v>
      </c>
      <c r="V8" s="93" t="s">
        <v>3</v>
      </c>
      <c r="W8" s="75" t="s">
        <v>84</v>
      </c>
      <c r="X8" s="94">
        <v>45809</v>
      </c>
      <c r="AA8" t="s">
        <v>101</v>
      </c>
    </row>
    <row r="9" spans="2:28" x14ac:dyDescent="0.25">
      <c r="B9" s="1" t="s">
        <v>3</v>
      </c>
      <c r="C9" s="3">
        <v>200</v>
      </c>
      <c r="I9" s="50" t="s">
        <v>79</v>
      </c>
      <c r="J9" s="50"/>
      <c r="K9" s="50"/>
      <c r="L9" s="50"/>
      <c r="N9" s="95"/>
      <c r="O9" s="95"/>
      <c r="P9" s="95"/>
      <c r="Q9" s="95"/>
      <c r="R9" s="95"/>
      <c r="T9" s="57" t="s">
        <v>87</v>
      </c>
      <c r="U9" s="150">
        <v>100</v>
      </c>
      <c r="V9" s="91" t="s">
        <v>3</v>
      </c>
      <c r="W9" s="58" t="s">
        <v>84</v>
      </c>
      <c r="X9" s="92">
        <v>45809</v>
      </c>
      <c r="AA9" t="s">
        <v>102</v>
      </c>
    </row>
    <row r="10" spans="2:28" x14ac:dyDescent="0.25">
      <c r="B10" s="4" t="s">
        <v>4</v>
      </c>
      <c r="C10" s="3">
        <v>300</v>
      </c>
      <c r="I10" s="50"/>
      <c r="J10" s="50"/>
      <c r="K10" s="50"/>
      <c r="L10" s="50"/>
      <c r="N10" s="95"/>
      <c r="O10" s="95"/>
      <c r="P10" s="95"/>
      <c r="Q10" s="95"/>
      <c r="R10" s="95"/>
      <c r="T10" s="74" t="s">
        <v>48</v>
      </c>
      <c r="U10" s="93">
        <f>+IFERROR(VLOOKUP([1]!Tabla23[[#This Row],[BONO]],#REF!,2,FALSE),0)</f>
        <v>0</v>
      </c>
      <c r="V10" s="93" t="s">
        <v>3</v>
      </c>
      <c r="W10" s="75" t="s">
        <v>84</v>
      </c>
      <c r="X10" s="94">
        <v>45810</v>
      </c>
    </row>
    <row r="11" spans="2:28" x14ac:dyDescent="0.25">
      <c r="B11" s="5" t="s">
        <v>5</v>
      </c>
      <c r="C11" s="3">
        <v>400</v>
      </c>
      <c r="N11" s="95"/>
      <c r="O11" s="95"/>
      <c r="P11" s="95"/>
      <c r="Q11" s="95"/>
      <c r="R11" s="95"/>
      <c r="T11" s="57" t="s">
        <v>43</v>
      </c>
      <c r="U11" s="91">
        <f>+IFERROR(VLOOKUP([1]!Tabla23[[#This Row],[BONO]],#REF!,2,FALSE),0)</f>
        <v>0</v>
      </c>
      <c r="V11" s="91" t="s">
        <v>3</v>
      </c>
      <c r="W11" s="58" t="s">
        <v>84</v>
      </c>
      <c r="X11" s="92">
        <v>45810</v>
      </c>
      <c r="Z11" s="83" t="s">
        <v>103</v>
      </c>
      <c r="AA11" s="83"/>
      <c r="AB11" s="83"/>
    </row>
    <row r="12" spans="2:28" x14ac:dyDescent="0.25">
      <c r="B12" s="1" t="s">
        <v>6</v>
      </c>
      <c r="C12" s="3">
        <v>600</v>
      </c>
      <c r="N12" s="95"/>
      <c r="O12" s="95"/>
      <c r="P12" s="95"/>
      <c r="Q12" s="95"/>
      <c r="R12" s="95"/>
      <c r="T12" s="74" t="s">
        <v>88</v>
      </c>
      <c r="U12" s="93">
        <v>100</v>
      </c>
      <c r="V12" s="93" t="s">
        <v>3</v>
      </c>
      <c r="W12" s="75" t="s">
        <v>89</v>
      </c>
      <c r="X12" s="94">
        <v>45810</v>
      </c>
      <c r="Z12" s="83"/>
      <c r="AA12" s="83"/>
      <c r="AB12" s="83"/>
    </row>
    <row r="13" spans="2:28" x14ac:dyDescent="0.25">
      <c r="B13" s="1" t="s">
        <v>7</v>
      </c>
      <c r="C13" s="3">
        <v>1000</v>
      </c>
      <c r="N13" s="95"/>
      <c r="O13" s="95"/>
      <c r="P13" s="95"/>
      <c r="Q13" s="95"/>
      <c r="R13" s="95"/>
      <c r="T13" s="57" t="s">
        <v>52</v>
      </c>
      <c r="U13" s="91">
        <v>100</v>
      </c>
      <c r="V13" s="91" t="s">
        <v>3</v>
      </c>
      <c r="W13" s="58" t="s">
        <v>89</v>
      </c>
      <c r="X13" s="92">
        <v>45810</v>
      </c>
      <c r="Z13" s="83"/>
      <c r="AA13" s="83"/>
      <c r="AB13" s="83"/>
    </row>
    <row r="14" spans="2:28" x14ac:dyDescent="0.25">
      <c r="B14" s="6" t="s">
        <v>8</v>
      </c>
      <c r="C14" s="3">
        <v>300</v>
      </c>
      <c r="N14" s="95"/>
      <c r="O14" s="95"/>
      <c r="P14" s="95"/>
      <c r="Q14" s="95"/>
      <c r="R14" s="95"/>
      <c r="T14" s="74" t="s">
        <v>90</v>
      </c>
      <c r="U14" s="93">
        <v>100</v>
      </c>
      <c r="V14" s="93" t="s">
        <v>3</v>
      </c>
      <c r="W14" s="75" t="s">
        <v>84</v>
      </c>
      <c r="X14" s="94">
        <v>45810</v>
      </c>
      <c r="Z14" s="83"/>
      <c r="AA14" s="83"/>
      <c r="AB14" s="83"/>
    </row>
    <row r="15" spans="2:28" x14ac:dyDescent="0.25">
      <c r="B15" s="6" t="s">
        <v>9</v>
      </c>
      <c r="C15" s="6"/>
      <c r="N15" s="95"/>
      <c r="O15" s="95"/>
      <c r="P15" s="95"/>
      <c r="Q15" s="95"/>
      <c r="R15" s="95"/>
      <c r="T15" s="57" t="s">
        <v>43</v>
      </c>
      <c r="U15" s="91">
        <v>100</v>
      </c>
      <c r="V15" s="91" t="s">
        <v>3</v>
      </c>
      <c r="W15" s="58" t="s">
        <v>84</v>
      </c>
      <c r="X15" s="92">
        <v>45810</v>
      </c>
    </row>
    <row r="16" spans="2:28" x14ac:dyDescent="0.25">
      <c r="B16" s="6" t="s">
        <v>173</v>
      </c>
      <c r="C16" s="6"/>
      <c r="F16" t="s">
        <v>159</v>
      </c>
      <c r="N16" s="95"/>
      <c r="O16" s="95"/>
      <c r="P16" s="95"/>
      <c r="Q16" s="95"/>
      <c r="R16" s="95"/>
      <c r="T16" s="74" t="s">
        <v>71</v>
      </c>
      <c r="U16" s="93">
        <f>+IFERROR(VLOOKUP([1]!Tabla23[[#This Row],[BONO]],#REF!,2,FALSE),0)</f>
        <v>0</v>
      </c>
      <c r="V16" s="93" t="s">
        <v>3</v>
      </c>
      <c r="W16" s="75" t="s">
        <v>89</v>
      </c>
      <c r="X16" s="94">
        <v>45811</v>
      </c>
    </row>
    <row r="17" spans="2:31" ht="45" customHeight="1" x14ac:dyDescent="0.25">
      <c r="B17" s="6" t="s">
        <v>158</v>
      </c>
      <c r="C17" s="6"/>
      <c r="G17" s="99"/>
      <c r="H17" s="99"/>
      <c r="I17" s="99"/>
      <c r="J17" s="99"/>
      <c r="K17" s="99"/>
      <c r="N17" s="95"/>
      <c r="O17" s="95"/>
      <c r="P17" s="95"/>
      <c r="Q17" s="95"/>
      <c r="R17" s="95"/>
      <c r="T17" s="57" t="s">
        <v>91</v>
      </c>
      <c r="U17" s="91">
        <f>+IFERROR(VLOOKUP([1]!Tabla23[[#This Row],[BONO]],#REF!,2,FALSE),0)</f>
        <v>0</v>
      </c>
      <c r="V17" s="91" t="s">
        <v>4</v>
      </c>
      <c r="W17" s="58" t="s">
        <v>89</v>
      </c>
      <c r="X17" s="92">
        <v>45811</v>
      </c>
    </row>
    <row r="18" spans="2:31" x14ac:dyDescent="0.25">
      <c r="B18" s="6" t="s">
        <v>199</v>
      </c>
      <c r="C18" s="6"/>
      <c r="G18" s="99"/>
      <c r="H18" s="99"/>
      <c r="I18" s="99"/>
      <c r="J18" s="99"/>
      <c r="K18" s="99"/>
      <c r="N18" s="95"/>
      <c r="O18" s="95"/>
      <c r="P18" s="95"/>
      <c r="Q18" s="95"/>
      <c r="R18" s="95"/>
      <c r="T18" s="74" t="s">
        <v>92</v>
      </c>
      <c r="U18" s="93">
        <v>150</v>
      </c>
      <c r="V18" s="93" t="s">
        <v>4</v>
      </c>
      <c r="W18" s="75" t="s">
        <v>86</v>
      </c>
      <c r="X18" s="94">
        <v>45811</v>
      </c>
    </row>
    <row r="19" spans="2:31" x14ac:dyDescent="0.25">
      <c r="B19" s="6" t="s">
        <v>10</v>
      </c>
      <c r="C19" s="6"/>
      <c r="G19" s="99"/>
      <c r="H19" s="99"/>
      <c r="I19" s="99"/>
      <c r="J19" s="99"/>
      <c r="K19" s="99"/>
      <c r="N19" s="95"/>
      <c r="O19" s="95"/>
      <c r="P19" s="95"/>
      <c r="Q19" s="95"/>
      <c r="R19" s="95"/>
      <c r="T19" s="57" t="s">
        <v>48</v>
      </c>
      <c r="U19" s="91">
        <v>150</v>
      </c>
      <c r="V19" s="91" t="s">
        <v>4</v>
      </c>
      <c r="W19" s="58" t="s">
        <v>86</v>
      </c>
      <c r="X19" s="92">
        <v>45811</v>
      </c>
    </row>
    <row r="20" spans="2:31" ht="30" customHeight="1" x14ac:dyDescent="0.25">
      <c r="B20" s="6" t="s">
        <v>11</v>
      </c>
      <c r="C20" s="6"/>
      <c r="H20" s="99"/>
      <c r="I20" s="99"/>
      <c r="J20" s="99"/>
      <c r="K20" s="99"/>
      <c r="N20" s="95"/>
      <c r="O20" s="95"/>
      <c r="P20" s="95"/>
      <c r="Q20" s="95"/>
      <c r="R20" s="95"/>
      <c r="T20" s="74" t="s">
        <v>47</v>
      </c>
      <c r="U20" s="93">
        <f>+IFERROR(VLOOKUP([1]!Tabla23[[#This Row],[BONO]],#REF!,2,FALSE),0)</f>
        <v>0</v>
      </c>
      <c r="V20" s="93" t="s">
        <v>3</v>
      </c>
      <c r="W20" s="75" t="s">
        <v>86</v>
      </c>
      <c r="X20" s="94">
        <v>45811</v>
      </c>
    </row>
    <row r="21" spans="2:31" ht="24.75" customHeight="1" x14ac:dyDescent="0.25">
      <c r="B21" s="6" t="s">
        <v>12</v>
      </c>
      <c r="C21" s="6"/>
      <c r="F21" s="82" t="s">
        <v>78</v>
      </c>
      <c r="G21" s="82"/>
      <c r="H21" s="82"/>
      <c r="I21" s="82"/>
      <c r="J21" s="161"/>
      <c r="K21" s="99"/>
      <c r="N21" s="95"/>
      <c r="O21" s="95"/>
      <c r="P21" s="95"/>
      <c r="Q21" s="95"/>
      <c r="R21" s="95"/>
      <c r="T21" s="57" t="s">
        <v>71</v>
      </c>
      <c r="U21" s="91">
        <f>+IFERROR(VLOOKUP([1]!Tabla23[[#This Row],[BONO]],#REF!,2,FALSE),0)</f>
        <v>0</v>
      </c>
      <c r="V21" s="91" t="s">
        <v>3</v>
      </c>
      <c r="W21" s="58" t="s">
        <v>89</v>
      </c>
      <c r="X21" s="92">
        <v>45811</v>
      </c>
    </row>
    <row r="22" spans="2:31" ht="23.25" customHeight="1" x14ac:dyDescent="0.25">
      <c r="B22" s="6" t="s">
        <v>13</v>
      </c>
      <c r="C22" s="6"/>
      <c r="F22" s="161"/>
      <c r="G22" s="161"/>
      <c r="H22" s="161"/>
      <c r="I22" s="161"/>
      <c r="J22" s="161"/>
      <c r="N22" s="95"/>
      <c r="O22" s="95"/>
      <c r="P22" s="95"/>
      <c r="Q22" s="95"/>
      <c r="R22" s="95"/>
      <c r="T22" s="74" t="s">
        <v>71</v>
      </c>
      <c r="U22" s="93">
        <v>100</v>
      </c>
      <c r="V22" s="93" t="s">
        <v>3</v>
      </c>
      <c r="W22" s="75" t="s">
        <v>86</v>
      </c>
      <c r="X22" s="94">
        <v>45811</v>
      </c>
    </row>
    <row r="23" spans="2:31" x14ac:dyDescent="0.25">
      <c r="B23" s="6" t="s">
        <v>14</v>
      </c>
      <c r="C23" s="6"/>
      <c r="N23" s="95"/>
      <c r="O23" s="95"/>
      <c r="P23" s="95"/>
      <c r="Q23" s="95"/>
      <c r="R23" s="95"/>
      <c r="T23" s="57" t="s">
        <v>47</v>
      </c>
      <c r="U23" s="91">
        <v>100</v>
      </c>
      <c r="V23" s="91" t="s">
        <v>3</v>
      </c>
      <c r="W23" s="58" t="s">
        <v>86</v>
      </c>
      <c r="X23" s="92">
        <v>45811</v>
      </c>
    </row>
    <row r="24" spans="2:31" x14ac:dyDescent="0.25">
      <c r="N24" s="95"/>
      <c r="O24" s="95"/>
      <c r="P24" s="95"/>
      <c r="Q24" s="95"/>
      <c r="R24" s="95"/>
      <c r="T24" s="74" t="s">
        <v>57</v>
      </c>
      <c r="U24" s="93">
        <v>150</v>
      </c>
      <c r="V24" s="93" t="s">
        <v>4</v>
      </c>
      <c r="W24" s="75" t="s">
        <v>89</v>
      </c>
      <c r="X24" s="94">
        <v>45812</v>
      </c>
      <c r="Z24" s="151"/>
      <c r="AA24" t="s">
        <v>160</v>
      </c>
    </row>
    <row r="25" spans="2:31" x14ac:dyDescent="0.25">
      <c r="N25" s="95"/>
      <c r="O25" s="95"/>
      <c r="P25" s="95"/>
      <c r="Q25" s="95"/>
      <c r="R25" s="95"/>
      <c r="T25" s="57" t="s">
        <v>93</v>
      </c>
      <c r="U25" s="91">
        <v>150</v>
      </c>
      <c r="V25" s="91" t="s">
        <v>4</v>
      </c>
      <c r="W25" s="58" t="s">
        <v>89</v>
      </c>
      <c r="X25" s="92">
        <v>45812</v>
      </c>
      <c r="Z25" s="151"/>
    </row>
    <row r="26" spans="2:31" x14ac:dyDescent="0.25">
      <c r="N26" s="95"/>
      <c r="O26" s="95"/>
      <c r="P26" s="95"/>
      <c r="Q26" s="95"/>
      <c r="R26" s="95"/>
      <c r="T26" s="74" t="s">
        <v>93</v>
      </c>
      <c r="U26" s="93">
        <f>+IFERROR(VLOOKUP([1]!Tabla23[[#This Row],[BONO]],#REF!,2,FALSE),0)</f>
        <v>0</v>
      </c>
      <c r="V26" s="93" t="s">
        <v>3</v>
      </c>
      <c r="W26" s="75" t="s">
        <v>89</v>
      </c>
      <c r="X26" s="94">
        <v>45812</v>
      </c>
    </row>
    <row r="27" spans="2:31" x14ac:dyDescent="0.25">
      <c r="N27" s="95"/>
      <c r="O27" s="95"/>
      <c r="P27" s="95"/>
      <c r="Q27" s="95"/>
      <c r="R27" s="95"/>
      <c r="T27" s="57" t="s">
        <v>47</v>
      </c>
      <c r="U27" s="91">
        <f>+IFERROR(VLOOKUP([1]!Tabla23[[#This Row],[BONO]],#REF!,2,FALSE),0)</f>
        <v>0</v>
      </c>
      <c r="V27" s="91" t="s">
        <v>3</v>
      </c>
      <c r="W27" s="58" t="s">
        <v>94</v>
      </c>
      <c r="X27" s="92">
        <v>45812</v>
      </c>
    </row>
    <row r="28" spans="2:31" ht="27.75" customHeight="1" x14ac:dyDescent="0.25">
      <c r="T28" s="74" t="s">
        <v>48</v>
      </c>
      <c r="U28" s="93">
        <v>100</v>
      </c>
      <c r="V28" s="93" t="s">
        <v>3</v>
      </c>
      <c r="W28" s="75" t="s">
        <v>94</v>
      </c>
      <c r="X28" s="94">
        <v>45812</v>
      </c>
      <c r="AA28" s="82" t="s">
        <v>161</v>
      </c>
      <c r="AB28" s="82"/>
      <c r="AC28" s="82"/>
      <c r="AD28" s="82"/>
      <c r="AE28" s="82"/>
    </row>
    <row r="29" spans="2:31" x14ac:dyDescent="0.25">
      <c r="T29" s="57" t="s">
        <v>92</v>
      </c>
      <c r="U29" s="91">
        <v>100</v>
      </c>
      <c r="V29" s="91" t="s">
        <v>3</v>
      </c>
      <c r="W29" s="58" t="s">
        <v>94</v>
      </c>
      <c r="X29" s="92">
        <v>45812</v>
      </c>
      <c r="AA29" s="82"/>
      <c r="AB29" s="82"/>
      <c r="AC29" s="82"/>
      <c r="AD29" s="82"/>
      <c r="AE29" s="82"/>
    </row>
    <row r="30" spans="2:31" x14ac:dyDescent="0.25">
      <c r="T30" s="74" t="s">
        <v>60</v>
      </c>
      <c r="U30" s="93">
        <f>+IFERROR(VLOOKUP([1]!Tabla23[[#This Row],[BONO]],#REF!,2,FALSE),0)</f>
        <v>0</v>
      </c>
      <c r="V30" s="93" t="s">
        <v>5</v>
      </c>
      <c r="W30" s="75" t="s">
        <v>86</v>
      </c>
      <c r="X30" s="94">
        <v>45813</v>
      </c>
    </row>
    <row r="31" spans="2:31" x14ac:dyDescent="0.25">
      <c r="T31" s="57" t="s">
        <v>95</v>
      </c>
      <c r="U31" s="91">
        <v>200</v>
      </c>
      <c r="V31" s="91" t="s">
        <v>5</v>
      </c>
      <c r="W31" s="58" t="s">
        <v>96</v>
      </c>
      <c r="X31" s="92">
        <v>45813</v>
      </c>
    </row>
    <row r="32" spans="2:31" x14ac:dyDescent="0.25">
      <c r="T32" s="74" t="s">
        <v>87</v>
      </c>
      <c r="U32" s="93">
        <v>200</v>
      </c>
      <c r="V32" s="93" t="s">
        <v>5</v>
      </c>
      <c r="W32" s="75" t="s">
        <v>96</v>
      </c>
      <c r="X32" s="94">
        <v>45813</v>
      </c>
    </row>
    <row r="34" spans="2:33" ht="15" customHeight="1" x14ac:dyDescent="0.25">
      <c r="B34" s="85" t="s">
        <v>109</v>
      </c>
      <c r="C34" s="85"/>
      <c r="D34" s="85"/>
      <c r="AA34" t="s">
        <v>162</v>
      </c>
    </row>
    <row r="35" spans="2:33" x14ac:dyDescent="0.25">
      <c r="B35" s="85"/>
      <c r="C35" s="85"/>
      <c r="D35" s="85"/>
    </row>
    <row r="36" spans="2:33" ht="135" customHeight="1" x14ac:dyDescent="0.25">
      <c r="B36" s="85"/>
      <c r="C36" s="85"/>
      <c r="D36" s="85"/>
      <c r="AB36" t="s">
        <v>164</v>
      </c>
      <c r="AC36">
        <v>0</v>
      </c>
      <c r="AD36" t="s">
        <v>165</v>
      </c>
    </row>
    <row r="37" spans="2:33" x14ac:dyDescent="0.25">
      <c r="B37" s="85"/>
      <c r="C37" s="85"/>
      <c r="D37" s="85"/>
      <c r="AB37" t="s">
        <v>163</v>
      </c>
      <c r="AC37">
        <v>100</v>
      </c>
      <c r="AD37" t="s">
        <v>165</v>
      </c>
    </row>
    <row r="40" spans="2:33" x14ac:dyDescent="0.25">
      <c r="Z40" s="152" t="s">
        <v>166</v>
      </c>
      <c r="AA40" s="152"/>
      <c r="AB40" s="152"/>
      <c r="AC40" s="152"/>
      <c r="AD40" s="152"/>
      <c r="AE40" s="152"/>
      <c r="AF40" s="152"/>
      <c r="AG40" s="152"/>
    </row>
    <row r="41" spans="2:33" x14ac:dyDescent="0.25">
      <c r="Z41" s="152"/>
      <c r="AA41" s="152"/>
      <c r="AB41" s="152"/>
      <c r="AC41" s="152"/>
      <c r="AD41" s="152"/>
      <c r="AE41" s="152"/>
      <c r="AF41" s="152"/>
      <c r="AG41" s="152"/>
    </row>
    <row r="42" spans="2:33" x14ac:dyDescent="0.25">
      <c r="Z42" s="152"/>
      <c r="AA42" s="152"/>
      <c r="AB42" s="152"/>
      <c r="AC42" s="152"/>
      <c r="AD42" s="152"/>
      <c r="AE42" s="152"/>
      <c r="AF42" s="152"/>
      <c r="AG42" s="152"/>
    </row>
    <row r="43" spans="2:33" x14ac:dyDescent="0.25">
      <c r="Z43" s="152"/>
      <c r="AA43" s="152"/>
      <c r="AB43" s="152"/>
      <c r="AC43" s="152"/>
      <c r="AD43" s="152"/>
      <c r="AE43" s="152"/>
      <c r="AF43" s="152"/>
      <c r="AG43" s="152"/>
    </row>
    <row r="44" spans="2:33" x14ac:dyDescent="0.25">
      <c r="Z44" s="152"/>
      <c r="AA44" s="152"/>
      <c r="AB44" s="152"/>
      <c r="AC44" s="152"/>
      <c r="AD44" s="152"/>
      <c r="AE44" s="152"/>
      <c r="AF44" s="152"/>
      <c r="AG44" s="152"/>
    </row>
    <row r="45" spans="2:33" x14ac:dyDescent="0.25">
      <c r="Z45" s="152"/>
      <c r="AA45" s="152"/>
      <c r="AB45" s="152"/>
      <c r="AC45" s="152"/>
      <c r="AD45" s="152"/>
      <c r="AE45" s="152"/>
      <c r="AF45" s="152"/>
      <c r="AG45" s="152"/>
    </row>
    <row r="46" spans="2:33" x14ac:dyDescent="0.25">
      <c r="Z46" s="152"/>
      <c r="AA46" s="152"/>
      <c r="AB46" s="152"/>
      <c r="AC46" s="152"/>
      <c r="AD46" s="152"/>
      <c r="AE46" s="152"/>
      <c r="AF46" s="152"/>
      <c r="AG46" s="152"/>
    </row>
  </sheetData>
  <mergeCells count="9">
    <mergeCell ref="AA28:AE29"/>
    <mergeCell ref="Z40:AG46"/>
    <mergeCell ref="F21:I21"/>
    <mergeCell ref="B34:D37"/>
    <mergeCell ref="I9:L10"/>
    <mergeCell ref="N8:R27"/>
    <mergeCell ref="Z11:AB14"/>
    <mergeCell ref="N2:R2"/>
    <mergeCell ref="N3:R3"/>
  </mergeCells>
  <conditionalFormatting sqref="T4 T9:T32">
    <cfRule type="containsText" dxfId="11" priority="2" operator="containsText" text="DULCE AMAYRANI HERRERA MOLINERO">
      <formula>NOT(ISERROR(SEARCH("DULCE AMAYRANI HERRERA MOLINERO",T4)))</formula>
    </cfRule>
  </conditionalFormatting>
  <conditionalFormatting sqref="T5:T8">
    <cfRule type="containsText" dxfId="10" priority="1" operator="containsText" text="DULCE AMAYRANI HERRERA MOLINERO">
      <formula>NOT(ISERROR(SEARCH("DULCE AMAYRANI HERRERA MOLINERO",T5)))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B297B-C342-44A8-BF89-03033BB459BF}">
  <dimension ref="A3:AO51"/>
  <sheetViews>
    <sheetView showGridLines="0" topLeftCell="AB1" workbookViewId="0">
      <selection activeCell="AO22" sqref="AO22"/>
    </sheetView>
  </sheetViews>
  <sheetFormatPr baseColWidth="10" defaultRowHeight="15" x14ac:dyDescent="0.25"/>
  <cols>
    <col min="9" max="10" width="14.5703125" bestFit="1" customWidth="1"/>
    <col min="14" max="15" width="14.5703125" bestFit="1" customWidth="1"/>
    <col min="27" max="27" width="34.7109375" bestFit="1" customWidth="1"/>
    <col min="41" max="41" width="35.42578125" customWidth="1"/>
  </cols>
  <sheetData>
    <row r="3" spans="1:41" ht="19.5" thickBot="1" x14ac:dyDescent="0.3">
      <c r="H3" s="7">
        <v>1</v>
      </c>
      <c r="I3" s="8" t="s">
        <v>18</v>
      </c>
      <c r="J3" s="8"/>
      <c r="K3" s="8"/>
      <c r="M3" s="9">
        <v>9</v>
      </c>
      <c r="N3" s="8" t="s">
        <v>18</v>
      </c>
      <c r="O3" s="8"/>
      <c r="P3" s="8"/>
    </row>
    <row r="4" spans="1:41" ht="45.75" thickBot="1" x14ac:dyDescent="0.3">
      <c r="A4" s="81" t="s">
        <v>53</v>
      </c>
      <c r="B4" s="81"/>
      <c r="C4" s="81"/>
      <c r="D4" s="81"/>
      <c r="E4" s="81"/>
      <c r="F4" s="81"/>
      <c r="H4" s="7"/>
      <c r="I4" s="10" t="s">
        <v>19</v>
      </c>
      <c r="J4" s="11" t="s">
        <v>20</v>
      </c>
      <c r="K4" s="12" t="s">
        <v>21</v>
      </c>
      <c r="M4" s="9"/>
      <c r="N4" s="10" t="s">
        <v>19</v>
      </c>
      <c r="O4" s="11" t="s">
        <v>20</v>
      </c>
      <c r="P4" s="12" t="s">
        <v>21</v>
      </c>
      <c r="S4" s="50" t="s">
        <v>25</v>
      </c>
      <c r="T4" s="50"/>
      <c r="U4" s="50"/>
      <c r="V4" s="50"/>
      <c r="W4" s="50"/>
      <c r="Z4" s="51" t="s">
        <v>26</v>
      </c>
      <c r="AA4" s="52" t="s">
        <v>27</v>
      </c>
      <c r="AB4" s="52" t="s">
        <v>28</v>
      </c>
      <c r="AC4" s="52" t="s">
        <v>29</v>
      </c>
      <c r="AD4" s="52" t="s">
        <v>30</v>
      </c>
      <c r="AE4" s="52" t="s">
        <v>31</v>
      </c>
      <c r="AF4" s="52" t="s">
        <v>32</v>
      </c>
      <c r="AG4" s="53" t="s">
        <v>33</v>
      </c>
      <c r="AH4" s="52" t="s">
        <v>34</v>
      </c>
      <c r="AI4" s="54" t="s">
        <v>35</v>
      </c>
      <c r="AJ4" s="55" t="s">
        <v>36</v>
      </c>
      <c r="AK4" s="56" t="s">
        <v>37</v>
      </c>
    </row>
    <row r="5" spans="1:41" ht="17.25" x14ac:dyDescent="0.25">
      <c r="A5" s="81"/>
      <c r="B5" s="81"/>
      <c r="C5" s="81"/>
      <c r="D5" s="81"/>
      <c r="E5" s="81"/>
      <c r="F5" s="81"/>
      <c r="H5" s="7"/>
      <c r="I5" s="13">
        <v>1</v>
      </c>
      <c r="J5" s="14">
        <v>599999.99</v>
      </c>
      <c r="K5" s="15">
        <v>0.34</v>
      </c>
      <c r="M5" s="9"/>
      <c r="N5" s="13">
        <v>1</v>
      </c>
      <c r="O5" s="14">
        <v>59999.99</v>
      </c>
      <c r="P5" s="15">
        <v>0.25</v>
      </c>
      <c r="S5" s="50"/>
      <c r="T5" s="50"/>
      <c r="U5" s="50"/>
      <c r="V5" s="50"/>
      <c r="W5" s="50"/>
      <c r="Z5" s="57" t="s">
        <v>38</v>
      </c>
      <c r="AA5" s="58" t="s">
        <v>39</v>
      </c>
      <c r="AB5" s="58">
        <v>1</v>
      </c>
      <c r="AC5" s="59">
        <v>0.34</v>
      </c>
      <c r="AD5" s="58" t="s">
        <v>40</v>
      </c>
      <c r="AE5" s="58" t="s">
        <v>41</v>
      </c>
      <c r="AF5" s="60">
        <v>99450</v>
      </c>
      <c r="AG5" s="59">
        <v>0</v>
      </c>
      <c r="AH5" s="61">
        <v>17500</v>
      </c>
      <c r="AI5" s="62">
        <v>0</v>
      </c>
      <c r="AJ5" s="63">
        <v>0</v>
      </c>
      <c r="AK5" s="64">
        <v>17500</v>
      </c>
    </row>
    <row r="6" spans="1:41" ht="17.25" x14ac:dyDescent="0.25">
      <c r="A6" s="81"/>
      <c r="B6" s="81"/>
      <c r="C6" s="81"/>
      <c r="D6" s="81"/>
      <c r="E6" s="81"/>
      <c r="F6" s="81"/>
      <c r="H6" s="7"/>
      <c r="I6" s="16">
        <v>600000</v>
      </c>
      <c r="J6" s="17">
        <v>999999.99</v>
      </c>
      <c r="K6" s="18">
        <v>0.35</v>
      </c>
      <c r="M6" s="9"/>
      <c r="N6" s="16">
        <v>60000</v>
      </c>
      <c r="O6" s="17">
        <v>119999.99</v>
      </c>
      <c r="P6" s="18">
        <v>0.27</v>
      </c>
      <c r="S6" s="50"/>
      <c r="T6" s="50"/>
      <c r="U6" s="50"/>
      <c r="V6" s="50"/>
      <c r="W6" s="50"/>
      <c r="Z6" s="65"/>
      <c r="AA6" s="66"/>
      <c r="AB6" s="66"/>
      <c r="AC6" s="67"/>
      <c r="AD6" s="66"/>
      <c r="AE6" s="66"/>
      <c r="AF6" s="68"/>
      <c r="AG6" s="67"/>
      <c r="AH6" s="69"/>
      <c r="AI6" s="70"/>
      <c r="AJ6" s="67"/>
      <c r="AK6" s="71"/>
    </row>
    <row r="7" spans="1:41" ht="45" x14ac:dyDescent="0.25">
      <c r="A7" s="81"/>
      <c r="B7" s="81"/>
      <c r="C7" s="81"/>
      <c r="D7" s="81"/>
      <c r="E7" s="81"/>
      <c r="F7" s="81"/>
      <c r="H7" s="7"/>
      <c r="I7" s="19"/>
      <c r="J7" s="20"/>
      <c r="K7" s="21"/>
      <c r="M7" s="9"/>
      <c r="N7" s="19">
        <v>120000</v>
      </c>
      <c r="O7" s="20">
        <v>999999.99</v>
      </c>
      <c r="P7" s="21">
        <v>0.28000000000000003</v>
      </c>
      <c r="Z7" s="57" t="s">
        <v>42</v>
      </c>
      <c r="AA7" s="58" t="s">
        <v>43</v>
      </c>
      <c r="AB7" s="58">
        <v>2</v>
      </c>
      <c r="AC7" s="59">
        <v>0.32</v>
      </c>
      <c r="AD7" s="58" t="s">
        <v>44</v>
      </c>
      <c r="AE7" s="58" t="s">
        <v>45</v>
      </c>
      <c r="AF7" s="60">
        <v>0</v>
      </c>
      <c r="AG7" s="59">
        <v>0</v>
      </c>
      <c r="AH7" s="72"/>
      <c r="AI7" s="62">
        <v>0</v>
      </c>
      <c r="AJ7" s="59">
        <v>0</v>
      </c>
      <c r="AK7" s="73"/>
      <c r="AO7" s="99" t="s">
        <v>111</v>
      </c>
    </row>
    <row r="8" spans="1:41" x14ac:dyDescent="0.25">
      <c r="A8" s="81"/>
      <c r="B8" s="81"/>
      <c r="C8" s="81"/>
      <c r="D8" s="81"/>
      <c r="E8" s="81"/>
      <c r="F8" s="81"/>
      <c r="H8" s="22"/>
      <c r="Z8" s="74" t="s">
        <v>46</v>
      </c>
      <c r="AA8" s="75" t="s">
        <v>47</v>
      </c>
      <c r="AB8" s="75">
        <v>2</v>
      </c>
      <c r="AC8" s="76">
        <v>0.32</v>
      </c>
      <c r="AD8" s="75" t="s">
        <v>44</v>
      </c>
      <c r="AE8" s="75"/>
      <c r="AF8" s="77">
        <v>61050</v>
      </c>
      <c r="AG8" s="76">
        <v>0</v>
      </c>
      <c r="AH8" s="78"/>
      <c r="AI8" s="79">
        <v>0</v>
      </c>
      <c r="AJ8" s="76">
        <v>0</v>
      </c>
      <c r="AK8" s="80"/>
    </row>
    <row r="9" spans="1:41" x14ac:dyDescent="0.25">
      <c r="A9" s="81"/>
      <c r="B9" s="81"/>
      <c r="C9" s="81"/>
      <c r="D9" s="81"/>
      <c r="E9" s="81"/>
      <c r="F9" s="81"/>
      <c r="H9" s="22"/>
      <c r="Z9" s="65"/>
      <c r="AA9" s="66"/>
      <c r="AB9" s="66"/>
      <c r="AC9" s="67"/>
      <c r="AD9" s="66"/>
      <c r="AE9" s="66"/>
      <c r="AF9" s="68"/>
      <c r="AG9" s="67"/>
      <c r="AH9" s="69"/>
      <c r="AI9" s="70"/>
      <c r="AJ9" s="67"/>
      <c r="AK9" s="71"/>
    </row>
    <row r="10" spans="1:41" ht="18.75" x14ac:dyDescent="0.25">
      <c r="H10" s="7">
        <v>2</v>
      </c>
      <c r="I10" s="8" t="s">
        <v>18</v>
      </c>
      <c r="J10" s="8" t="s">
        <v>15</v>
      </c>
      <c r="K10" s="8" t="s">
        <v>22</v>
      </c>
      <c r="M10" s="9">
        <v>10</v>
      </c>
      <c r="N10" s="8" t="s">
        <v>18</v>
      </c>
      <c r="O10" s="8" t="s">
        <v>15</v>
      </c>
      <c r="P10" s="8" t="s">
        <v>22</v>
      </c>
      <c r="Z10" s="74" t="s">
        <v>46</v>
      </c>
      <c r="AA10" s="75" t="s">
        <v>48</v>
      </c>
      <c r="AB10" s="75">
        <v>12</v>
      </c>
      <c r="AC10" s="76">
        <v>0.3</v>
      </c>
      <c r="AD10" s="75" t="s">
        <v>49</v>
      </c>
      <c r="AE10" s="75"/>
      <c r="AF10" s="77">
        <v>13475</v>
      </c>
      <c r="AG10" s="76">
        <v>0</v>
      </c>
      <c r="AH10" s="78"/>
      <c r="AI10" s="79">
        <v>0</v>
      </c>
      <c r="AJ10" s="76">
        <v>0</v>
      </c>
      <c r="AK10" s="80"/>
    </row>
    <row r="11" spans="1:41" ht="17.25" x14ac:dyDescent="0.25">
      <c r="H11" s="7"/>
      <c r="I11" s="23" t="s">
        <v>19</v>
      </c>
      <c r="J11" s="24" t="s">
        <v>20</v>
      </c>
      <c r="K11" s="25" t="s">
        <v>21</v>
      </c>
      <c r="M11" s="9"/>
      <c r="N11" s="23" t="s">
        <v>19</v>
      </c>
      <c r="O11" s="24" t="s">
        <v>20</v>
      </c>
      <c r="P11" s="25" t="s">
        <v>21</v>
      </c>
      <c r="Z11" s="57" t="s">
        <v>50</v>
      </c>
      <c r="AA11" s="58" t="s">
        <v>51</v>
      </c>
      <c r="AB11" s="58">
        <v>12</v>
      </c>
      <c r="AC11" s="59">
        <v>0.3</v>
      </c>
      <c r="AD11" s="58" t="s">
        <v>49</v>
      </c>
      <c r="AE11" s="58"/>
      <c r="AF11" s="60">
        <v>100100</v>
      </c>
      <c r="AG11" s="59">
        <v>0</v>
      </c>
      <c r="AH11" s="72"/>
      <c r="AI11" s="62">
        <v>0</v>
      </c>
      <c r="AJ11" s="59">
        <v>0</v>
      </c>
      <c r="AK11" s="73"/>
    </row>
    <row r="12" spans="1:41" ht="17.25" x14ac:dyDescent="0.25">
      <c r="A12" s="84" t="s">
        <v>54</v>
      </c>
      <c r="B12" s="84"/>
      <c r="C12" s="84"/>
      <c r="D12" s="84"/>
      <c r="E12" s="84"/>
      <c r="F12" s="84"/>
      <c r="H12" s="7"/>
      <c r="I12" s="13">
        <v>1</v>
      </c>
      <c r="J12" s="14">
        <v>999</v>
      </c>
      <c r="K12" s="15">
        <v>0.32</v>
      </c>
      <c r="M12" s="9"/>
      <c r="N12" s="13">
        <v>1</v>
      </c>
      <c r="O12" s="14">
        <v>59999.99</v>
      </c>
      <c r="P12" s="15">
        <v>0.24</v>
      </c>
      <c r="Z12" s="74" t="s">
        <v>42</v>
      </c>
      <c r="AA12" s="75" t="s">
        <v>52</v>
      </c>
      <c r="AB12" s="75">
        <v>12</v>
      </c>
      <c r="AC12" s="76">
        <v>0.3</v>
      </c>
      <c r="AD12" s="75" t="s">
        <v>49</v>
      </c>
      <c r="AE12" s="75"/>
      <c r="AF12" s="77">
        <v>41550</v>
      </c>
      <c r="AG12" s="76">
        <v>0</v>
      </c>
      <c r="AH12" s="78"/>
      <c r="AI12" s="79">
        <v>0</v>
      </c>
      <c r="AJ12" s="76">
        <v>0</v>
      </c>
      <c r="AK12" s="80"/>
    </row>
    <row r="13" spans="1:41" ht="17.25" x14ac:dyDescent="0.25">
      <c r="A13" s="84"/>
      <c r="B13" s="84"/>
      <c r="C13" s="84"/>
      <c r="D13" s="84"/>
      <c r="E13" s="84"/>
      <c r="F13" s="84"/>
      <c r="H13" s="7"/>
      <c r="I13" s="16"/>
      <c r="J13" s="17"/>
      <c r="K13" s="18"/>
      <c r="M13" s="9"/>
      <c r="N13" s="16">
        <v>60000</v>
      </c>
      <c r="O13" s="17">
        <v>119999.99</v>
      </c>
      <c r="P13" s="18">
        <v>0.26</v>
      </c>
    </row>
    <row r="14" spans="1:41" ht="17.25" x14ac:dyDescent="0.25">
      <c r="A14" s="84"/>
      <c r="B14" s="84"/>
      <c r="C14" s="84"/>
      <c r="D14" s="84"/>
      <c r="E14" s="84"/>
      <c r="F14" s="84"/>
      <c r="H14" s="7"/>
      <c r="I14" s="19"/>
      <c r="J14" s="20"/>
      <c r="K14" s="21"/>
      <c r="M14" s="9"/>
      <c r="N14" s="19">
        <v>120000</v>
      </c>
      <c r="O14" s="20">
        <v>999999.99</v>
      </c>
      <c r="P14" s="21">
        <v>0.28000000000000003</v>
      </c>
    </row>
    <row r="15" spans="1:41" ht="18.75" customHeight="1" x14ac:dyDescent="0.25">
      <c r="A15" s="84"/>
      <c r="B15" s="84"/>
      <c r="C15" s="84"/>
      <c r="D15" s="84"/>
      <c r="E15" s="84"/>
      <c r="F15" s="84"/>
      <c r="H15" s="26"/>
      <c r="I15" s="14"/>
      <c r="J15" s="14"/>
      <c r="K15" s="27"/>
      <c r="M15" s="28"/>
      <c r="N15" s="14"/>
      <c r="O15" s="14"/>
      <c r="P15" s="27"/>
      <c r="Z15" s="84" t="s">
        <v>55</v>
      </c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</row>
    <row r="16" spans="1:41" ht="17.25" x14ac:dyDescent="0.25">
      <c r="A16" s="84"/>
      <c r="B16" s="84"/>
      <c r="C16" s="84"/>
      <c r="D16" s="84"/>
      <c r="E16" s="84"/>
      <c r="F16" s="84"/>
      <c r="H16" s="26"/>
      <c r="I16" s="14"/>
      <c r="J16" s="14"/>
      <c r="K16" s="27"/>
      <c r="M16" s="28"/>
      <c r="N16" s="14"/>
      <c r="O16" s="14"/>
      <c r="P16" s="27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</row>
    <row r="17" spans="1:37" ht="18.75" x14ac:dyDescent="0.25">
      <c r="A17" s="84"/>
      <c r="B17" s="84"/>
      <c r="C17" s="84"/>
      <c r="D17" s="84"/>
      <c r="E17" s="84"/>
      <c r="F17" s="84"/>
      <c r="H17" s="22"/>
      <c r="I17" s="8" t="s">
        <v>18</v>
      </c>
      <c r="J17" s="8" t="s">
        <v>15</v>
      </c>
      <c r="K17" s="8" t="s">
        <v>22</v>
      </c>
      <c r="N17" s="29" t="s">
        <v>18</v>
      </c>
      <c r="O17" s="29" t="s">
        <v>15</v>
      </c>
      <c r="P17" s="29" t="s">
        <v>22</v>
      </c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</row>
    <row r="18" spans="1:37" ht="17.25" x14ac:dyDescent="0.25">
      <c r="A18" s="84"/>
      <c r="B18" s="84"/>
      <c r="C18" s="84"/>
      <c r="D18" s="84"/>
      <c r="E18" s="84"/>
      <c r="F18" s="84"/>
      <c r="H18" s="7">
        <v>3</v>
      </c>
      <c r="I18" s="23" t="s">
        <v>19</v>
      </c>
      <c r="J18" s="24" t="s">
        <v>20</v>
      </c>
      <c r="K18" s="25" t="s">
        <v>21</v>
      </c>
      <c r="M18" s="30">
        <v>11</v>
      </c>
      <c r="N18" s="31" t="s">
        <v>19</v>
      </c>
      <c r="O18" s="32" t="s">
        <v>20</v>
      </c>
      <c r="P18" s="33" t="s">
        <v>21</v>
      </c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</row>
    <row r="19" spans="1:37" ht="17.25" x14ac:dyDescent="0.25">
      <c r="A19" s="84"/>
      <c r="B19" s="84"/>
      <c r="C19" s="84"/>
      <c r="D19" s="84"/>
      <c r="E19" s="84"/>
      <c r="F19" s="84"/>
      <c r="H19" s="7"/>
      <c r="I19" s="13">
        <v>1</v>
      </c>
      <c r="J19" s="14">
        <v>79999.990000000005</v>
      </c>
      <c r="K19" s="15">
        <v>0.3</v>
      </c>
      <c r="M19" s="30"/>
      <c r="N19" s="34">
        <v>1</v>
      </c>
      <c r="O19" s="35">
        <v>19999.990000000002</v>
      </c>
      <c r="P19" s="36">
        <v>0.18</v>
      </c>
    </row>
    <row r="20" spans="1:37" ht="17.25" x14ac:dyDescent="0.25">
      <c r="A20" s="84"/>
      <c r="B20" s="84"/>
      <c r="C20" s="84"/>
      <c r="D20" s="84"/>
      <c r="E20" s="84"/>
      <c r="F20" s="84"/>
      <c r="H20" s="7"/>
      <c r="I20" s="16">
        <v>80000</v>
      </c>
      <c r="J20" s="17">
        <v>999999.99</v>
      </c>
      <c r="K20" s="18">
        <v>0.32</v>
      </c>
      <c r="M20" s="30"/>
      <c r="N20" s="37">
        <v>20000</v>
      </c>
      <c r="O20" s="38">
        <v>39999.99</v>
      </c>
      <c r="P20" s="39">
        <v>0.2</v>
      </c>
      <c r="S20" s="50" t="s">
        <v>24</v>
      </c>
      <c r="T20" s="50"/>
      <c r="U20" s="50"/>
      <c r="V20" s="50"/>
      <c r="W20" s="50"/>
      <c r="Z20" s="98" t="s">
        <v>110</v>
      </c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</row>
    <row r="21" spans="1:37" ht="17.25" x14ac:dyDescent="0.25">
      <c r="H21" s="7"/>
      <c r="I21" s="19"/>
      <c r="J21" s="20"/>
      <c r="K21" s="21"/>
      <c r="M21" s="30"/>
      <c r="N21" s="34">
        <v>40000</v>
      </c>
      <c r="O21" s="35">
        <v>59999.99</v>
      </c>
      <c r="P21" s="36">
        <v>0.24</v>
      </c>
      <c r="S21" s="50"/>
      <c r="T21" s="50"/>
      <c r="U21" s="50"/>
      <c r="V21" s="50"/>
      <c r="W21" s="50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</row>
    <row r="22" spans="1:37" ht="17.25" x14ac:dyDescent="0.25">
      <c r="M22" s="30"/>
      <c r="N22" s="34">
        <v>60000</v>
      </c>
      <c r="O22" s="35">
        <v>79999.990000000005</v>
      </c>
      <c r="P22" s="36">
        <v>0.26</v>
      </c>
      <c r="S22" s="50"/>
      <c r="T22" s="50"/>
      <c r="U22" s="50"/>
      <c r="V22" s="50"/>
      <c r="W22" s="50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</row>
    <row r="23" spans="1:37" ht="17.25" x14ac:dyDescent="0.25">
      <c r="M23" s="30"/>
      <c r="N23" s="34">
        <v>80000</v>
      </c>
      <c r="O23" s="35">
        <v>99999.99</v>
      </c>
      <c r="P23" s="36">
        <v>0.28000000000000003</v>
      </c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</row>
    <row r="24" spans="1:37" ht="18.75" x14ac:dyDescent="0.25">
      <c r="I24" s="8" t="s">
        <v>18</v>
      </c>
      <c r="J24" s="8" t="s">
        <v>15</v>
      </c>
      <c r="K24" s="8" t="s">
        <v>22</v>
      </c>
      <c r="M24" s="30"/>
      <c r="N24" s="40">
        <v>100000</v>
      </c>
      <c r="O24" s="41">
        <v>119999.99</v>
      </c>
      <c r="P24" s="42">
        <v>0.28999999999999998</v>
      </c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</row>
    <row r="25" spans="1:37" ht="17.25" x14ac:dyDescent="0.25">
      <c r="H25" s="9">
        <v>4</v>
      </c>
      <c r="I25" s="23" t="s">
        <v>19</v>
      </c>
      <c r="J25" s="24" t="s">
        <v>20</v>
      </c>
      <c r="K25" s="25" t="s">
        <v>21</v>
      </c>
    </row>
    <row r="26" spans="1:37" ht="17.25" x14ac:dyDescent="0.25">
      <c r="H26" s="9"/>
      <c r="I26" s="13">
        <v>1</v>
      </c>
      <c r="J26" s="14">
        <v>39999.99</v>
      </c>
      <c r="K26" s="15">
        <v>0.28000000000000003</v>
      </c>
    </row>
    <row r="27" spans="1:37" ht="18.75" x14ac:dyDescent="0.25">
      <c r="H27" s="9"/>
      <c r="I27" s="16">
        <v>40000</v>
      </c>
      <c r="J27" s="17">
        <v>999999.99</v>
      </c>
      <c r="K27" s="18">
        <v>0.3</v>
      </c>
      <c r="N27" s="8" t="s">
        <v>18</v>
      </c>
      <c r="O27" s="8" t="s">
        <v>15</v>
      </c>
      <c r="P27" s="8" t="s">
        <v>22</v>
      </c>
    </row>
    <row r="28" spans="1:37" ht="17.25" x14ac:dyDescent="0.25">
      <c r="H28" s="9"/>
      <c r="I28" s="19"/>
      <c r="J28" s="20"/>
      <c r="K28" s="21"/>
      <c r="M28" s="43">
        <v>12</v>
      </c>
      <c r="N28" s="23" t="s">
        <v>19</v>
      </c>
      <c r="O28" s="24" t="s">
        <v>20</v>
      </c>
      <c r="P28" s="25" t="s">
        <v>21</v>
      </c>
    </row>
    <row r="29" spans="1:37" ht="17.25" x14ac:dyDescent="0.25">
      <c r="M29" s="44"/>
      <c r="N29" s="13">
        <v>1</v>
      </c>
      <c r="O29" s="14">
        <v>999999.99</v>
      </c>
      <c r="P29" s="15">
        <v>0.3</v>
      </c>
    </row>
    <row r="30" spans="1:37" ht="17.25" x14ac:dyDescent="0.25">
      <c r="M30" s="44"/>
      <c r="N30" s="16"/>
      <c r="O30" s="17"/>
      <c r="P30" s="18"/>
    </row>
    <row r="31" spans="1:37" ht="18.75" x14ac:dyDescent="0.25">
      <c r="H31" s="9">
        <v>5</v>
      </c>
      <c r="I31" s="8" t="s">
        <v>18</v>
      </c>
      <c r="J31" s="8" t="s">
        <v>15</v>
      </c>
      <c r="K31" s="8" t="s">
        <v>22</v>
      </c>
      <c r="M31" s="45"/>
      <c r="N31" s="19"/>
      <c r="O31" s="20"/>
      <c r="P31" s="21"/>
    </row>
    <row r="32" spans="1:37" ht="17.25" x14ac:dyDescent="0.25">
      <c r="H32" s="9"/>
      <c r="I32" s="23" t="s">
        <v>19</v>
      </c>
      <c r="J32" s="24" t="s">
        <v>20</v>
      </c>
      <c r="K32" s="25" t="s">
        <v>21</v>
      </c>
    </row>
    <row r="33" spans="8:16" ht="17.25" x14ac:dyDescent="0.25">
      <c r="H33" s="9"/>
      <c r="I33" s="13">
        <v>1</v>
      </c>
      <c r="J33" s="14">
        <v>59999.99</v>
      </c>
      <c r="K33" s="15">
        <v>0.28000000000000003</v>
      </c>
      <c r="M33" s="46"/>
    </row>
    <row r="34" spans="8:16" ht="18.75" x14ac:dyDescent="0.25">
      <c r="H34" s="9"/>
      <c r="I34" s="16">
        <v>60000</v>
      </c>
      <c r="J34" s="17">
        <v>999999.99</v>
      </c>
      <c r="K34" s="18">
        <v>0.3</v>
      </c>
      <c r="M34" s="9">
        <v>13</v>
      </c>
      <c r="N34" s="8" t="s">
        <v>18</v>
      </c>
      <c r="O34" s="8" t="s">
        <v>15</v>
      </c>
      <c r="P34" s="8" t="s">
        <v>22</v>
      </c>
    </row>
    <row r="35" spans="8:16" ht="17.25" x14ac:dyDescent="0.25">
      <c r="H35" s="9"/>
      <c r="I35" s="19"/>
      <c r="J35" s="20"/>
      <c r="K35" s="21"/>
      <c r="M35" s="9"/>
      <c r="N35" s="23" t="s">
        <v>19</v>
      </c>
      <c r="O35" s="24" t="s">
        <v>20</v>
      </c>
      <c r="P35" s="25" t="s">
        <v>21</v>
      </c>
    </row>
    <row r="36" spans="8:16" ht="17.25" x14ac:dyDescent="0.25">
      <c r="M36" s="9"/>
      <c r="N36" s="13" t="s">
        <v>23</v>
      </c>
      <c r="O36" s="14">
        <v>29999.99</v>
      </c>
      <c r="P36" s="15">
        <v>0.25</v>
      </c>
    </row>
    <row r="37" spans="8:16" ht="17.25" x14ac:dyDescent="0.25">
      <c r="M37" s="9"/>
      <c r="N37" s="16">
        <v>30000</v>
      </c>
      <c r="O37" s="17">
        <v>59999.99</v>
      </c>
      <c r="P37" s="18">
        <v>0.26</v>
      </c>
    </row>
    <row r="38" spans="8:16" ht="18.75" x14ac:dyDescent="0.25">
      <c r="H38" s="9">
        <v>6</v>
      </c>
      <c r="I38" s="8" t="s">
        <v>18</v>
      </c>
      <c r="J38" s="8" t="s">
        <v>15</v>
      </c>
      <c r="K38" s="8" t="s">
        <v>22</v>
      </c>
      <c r="M38" s="9"/>
      <c r="N38" s="19">
        <v>60000</v>
      </c>
      <c r="O38" s="20">
        <v>999999.99</v>
      </c>
      <c r="P38" s="21">
        <v>0.28000000000000003</v>
      </c>
    </row>
    <row r="39" spans="8:16" ht="17.25" x14ac:dyDescent="0.25">
      <c r="H39" s="9"/>
      <c r="I39" s="23" t="s">
        <v>19</v>
      </c>
      <c r="J39" s="24" t="s">
        <v>20</v>
      </c>
      <c r="K39" s="25" t="s">
        <v>21</v>
      </c>
    </row>
    <row r="40" spans="8:16" ht="17.25" x14ac:dyDescent="0.25">
      <c r="H40" s="9"/>
      <c r="I40" s="13">
        <v>1</v>
      </c>
      <c r="J40" s="14">
        <v>59999.99</v>
      </c>
      <c r="K40" s="15">
        <v>0.27</v>
      </c>
    </row>
    <row r="41" spans="8:16" ht="18.75" x14ac:dyDescent="0.25">
      <c r="H41" s="9"/>
      <c r="I41" s="16">
        <v>60000</v>
      </c>
      <c r="J41" s="17">
        <v>999999.99</v>
      </c>
      <c r="K41" s="18">
        <v>0.28000000000000003</v>
      </c>
      <c r="N41" s="8" t="s">
        <v>18</v>
      </c>
      <c r="O41" s="8" t="s">
        <v>15</v>
      </c>
      <c r="P41" s="8" t="s">
        <v>22</v>
      </c>
    </row>
    <row r="42" spans="8:16" ht="17.25" x14ac:dyDescent="0.25">
      <c r="I42" s="19"/>
      <c r="J42" s="20"/>
      <c r="K42" s="21"/>
      <c r="M42" s="9">
        <v>14</v>
      </c>
      <c r="N42" s="23" t="s">
        <v>19</v>
      </c>
      <c r="O42" s="24" t="s">
        <v>20</v>
      </c>
      <c r="P42" s="25" t="s">
        <v>21</v>
      </c>
    </row>
    <row r="43" spans="8:16" ht="17.25" x14ac:dyDescent="0.25">
      <c r="M43" s="9"/>
      <c r="N43" s="13">
        <v>1</v>
      </c>
      <c r="O43" s="14">
        <v>79999.990000000005</v>
      </c>
      <c r="P43" s="15">
        <v>0.26</v>
      </c>
    </row>
    <row r="44" spans="8:16" ht="18.75" x14ac:dyDescent="0.25">
      <c r="H44" s="9">
        <v>7</v>
      </c>
      <c r="I44" s="8" t="s">
        <v>18</v>
      </c>
      <c r="J44" s="8" t="s">
        <v>15</v>
      </c>
      <c r="K44" s="8" t="s">
        <v>22</v>
      </c>
      <c r="M44" s="9"/>
      <c r="N44" s="16">
        <v>80000</v>
      </c>
      <c r="O44" s="17">
        <v>99999.99</v>
      </c>
      <c r="P44" s="18">
        <v>0.28000000000000003</v>
      </c>
    </row>
    <row r="45" spans="8:16" ht="17.25" x14ac:dyDescent="0.25">
      <c r="H45" s="9"/>
      <c r="I45" s="23" t="s">
        <v>19</v>
      </c>
      <c r="J45" s="24" t="s">
        <v>20</v>
      </c>
      <c r="K45" s="25" t="s">
        <v>21</v>
      </c>
      <c r="M45" s="9"/>
      <c r="N45" s="19">
        <v>100000</v>
      </c>
      <c r="O45" s="20">
        <v>999999.99</v>
      </c>
      <c r="P45" s="21">
        <v>0.3</v>
      </c>
    </row>
    <row r="46" spans="8:16" ht="17.25" x14ac:dyDescent="0.25">
      <c r="H46" s="9"/>
      <c r="I46" s="13">
        <v>1</v>
      </c>
      <c r="J46" s="14">
        <v>59999.99</v>
      </c>
      <c r="K46" s="15">
        <v>0.25</v>
      </c>
    </row>
    <row r="47" spans="8:16" ht="18.75" x14ac:dyDescent="0.25">
      <c r="H47" s="9"/>
      <c r="I47" s="16">
        <v>60000</v>
      </c>
      <c r="J47" s="17">
        <v>79999.990000000005</v>
      </c>
      <c r="K47" s="18">
        <v>0.26</v>
      </c>
      <c r="M47" s="43">
        <v>15</v>
      </c>
      <c r="N47" s="8" t="s">
        <v>18</v>
      </c>
      <c r="O47" s="8" t="s">
        <v>15</v>
      </c>
      <c r="P47" s="8" t="s">
        <v>22</v>
      </c>
    </row>
    <row r="48" spans="8:16" ht="17.25" x14ac:dyDescent="0.25">
      <c r="H48" s="9"/>
      <c r="I48" s="19">
        <v>80000</v>
      </c>
      <c r="J48" s="20">
        <v>119999.99</v>
      </c>
      <c r="K48" s="21">
        <v>0.28000000000000003</v>
      </c>
      <c r="M48" s="44"/>
      <c r="N48" s="23" t="s">
        <v>19</v>
      </c>
      <c r="O48" s="24" t="s">
        <v>20</v>
      </c>
      <c r="P48" s="25" t="s">
        <v>21</v>
      </c>
    </row>
    <row r="49" spans="8:16" ht="17.25" x14ac:dyDescent="0.25">
      <c r="H49" s="28"/>
      <c r="I49" s="47">
        <v>120000</v>
      </c>
      <c r="J49" s="47">
        <v>999999.99</v>
      </c>
      <c r="K49" s="48">
        <v>0.28999999999999998</v>
      </c>
      <c r="M49" s="44"/>
      <c r="N49" s="13">
        <v>1</v>
      </c>
      <c r="O49" s="14">
        <v>79999.990000000005</v>
      </c>
      <c r="P49" s="15">
        <v>0.24</v>
      </c>
    </row>
    <row r="50" spans="8:16" ht="17.25" x14ac:dyDescent="0.25">
      <c r="M50" s="44"/>
      <c r="N50" s="16">
        <v>80000</v>
      </c>
      <c r="O50" s="17">
        <v>149999.99</v>
      </c>
      <c r="P50" s="18">
        <v>0.26</v>
      </c>
    </row>
    <row r="51" spans="8:16" ht="17.25" x14ac:dyDescent="0.25">
      <c r="M51" s="45"/>
      <c r="N51" s="19">
        <v>150000</v>
      </c>
      <c r="O51" s="20">
        <v>999999.99</v>
      </c>
      <c r="P51" s="21">
        <v>0.28000000000000003</v>
      </c>
    </row>
  </sheetData>
  <mergeCells count="34">
    <mergeCell ref="S20:W22"/>
    <mergeCell ref="S4:W6"/>
    <mergeCell ref="A4:F9"/>
    <mergeCell ref="A12:F20"/>
    <mergeCell ref="Z15:AK18"/>
    <mergeCell ref="Z20:AK24"/>
    <mergeCell ref="M34:M38"/>
    <mergeCell ref="N34:P34"/>
    <mergeCell ref="H38:H41"/>
    <mergeCell ref="I38:K38"/>
    <mergeCell ref="N41:P41"/>
    <mergeCell ref="M42:M45"/>
    <mergeCell ref="H44:H48"/>
    <mergeCell ref="I44:K44"/>
    <mergeCell ref="M47:M51"/>
    <mergeCell ref="N47:P47"/>
    <mergeCell ref="I17:K17"/>
    <mergeCell ref="N17:P17"/>
    <mergeCell ref="H18:H21"/>
    <mergeCell ref="M18:M24"/>
    <mergeCell ref="I24:K24"/>
    <mergeCell ref="H25:H28"/>
    <mergeCell ref="N27:P27"/>
    <mergeCell ref="M28:M31"/>
    <mergeCell ref="H31:H35"/>
    <mergeCell ref="I31:K31"/>
    <mergeCell ref="H3:H7"/>
    <mergeCell ref="I3:K3"/>
    <mergeCell ref="M3:M7"/>
    <mergeCell ref="N3:P3"/>
    <mergeCell ref="H10:H14"/>
    <mergeCell ref="I10:K10"/>
    <mergeCell ref="M10:M14"/>
    <mergeCell ref="N10:P10"/>
  </mergeCells>
  <pageMargins left="0.7" right="0.7" top="0.75" bottom="0.75" header="0.3" footer="0.3"/>
  <pageSetup paperSize="9" orientation="portrait" horizontalDpi="0" verticalDpi="0" r:id="rId1"/>
  <drawing r:id="rId2"/>
  <tableParts count="14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5DF97-6AB8-4ED8-9FE6-E3F4F83A3823}">
  <sheetPr codeName="Hoja4">
    <pageSetUpPr fitToPage="1"/>
  </sheetPr>
  <dimension ref="A1:BN51"/>
  <sheetViews>
    <sheetView showGridLines="0" topLeftCell="I1" workbookViewId="0">
      <selection activeCell="T5" sqref="T5"/>
    </sheetView>
  </sheetViews>
  <sheetFormatPr baseColWidth="10" defaultColWidth="11.28515625" defaultRowHeight="15" x14ac:dyDescent="0.25"/>
  <cols>
    <col min="1" max="1" width="37.85546875" style="134" bestFit="1" customWidth="1"/>
    <col min="2" max="2" width="15.42578125" style="135" bestFit="1" customWidth="1"/>
    <col min="3" max="3" width="18.42578125" style="135" bestFit="1" customWidth="1"/>
    <col min="4" max="4" width="19.28515625" style="113" bestFit="1" customWidth="1"/>
    <col min="5" max="5" width="15.140625" style="113" bestFit="1" customWidth="1"/>
    <col min="6" max="6" width="38.28515625" style="137" bestFit="1" customWidth="1"/>
    <col min="7" max="7" width="13.140625" style="137" bestFit="1" customWidth="1"/>
    <col min="8" max="8" width="15.5703125" style="135" bestFit="1" customWidth="1"/>
    <col min="9" max="9" width="16.28515625" style="113" bestFit="1" customWidth="1"/>
    <col min="10" max="10" width="16.85546875" style="138" bestFit="1" customWidth="1"/>
    <col min="11" max="11" width="17.85546875" style="135" bestFit="1" customWidth="1"/>
    <col min="12" max="12" width="17.7109375" style="139" hidden="1" customWidth="1"/>
    <col min="13" max="13" width="15.5703125" style="140" customWidth="1"/>
    <col min="14" max="14" width="14.42578125" style="137" customWidth="1"/>
    <col min="15" max="15" width="10.85546875" style="113" bestFit="1" customWidth="1"/>
    <col min="16" max="16" width="12.140625" style="136" bestFit="1" customWidth="1"/>
    <col min="17" max="17" width="14" style="113" bestFit="1" customWidth="1"/>
    <col min="18" max="18" width="13.42578125" style="113" customWidth="1"/>
    <col min="19" max="19" width="14" style="113" bestFit="1" customWidth="1"/>
    <col min="20" max="20" width="13.7109375" style="113" bestFit="1" customWidth="1"/>
    <col min="21" max="21" width="14.28515625" style="136" bestFit="1" customWidth="1"/>
    <col min="22" max="16384" width="11.28515625" style="113"/>
  </cols>
  <sheetData>
    <row r="1" spans="1:66" x14ac:dyDescent="0.25">
      <c r="A1" s="148" t="s">
        <v>157</v>
      </c>
      <c r="Q1" s="160" t="s">
        <v>198</v>
      </c>
      <c r="R1" s="160"/>
    </row>
    <row r="2" spans="1:66" x14ac:dyDescent="0.25">
      <c r="A2" s="148"/>
      <c r="I2" s="146" t="s">
        <v>171</v>
      </c>
      <c r="J2" s="146"/>
      <c r="Q2" s="160"/>
      <c r="R2" s="160"/>
    </row>
    <row r="3" spans="1:66" s="143" customFormat="1" x14ac:dyDescent="0.25">
      <c r="A3" s="148"/>
      <c r="B3" s="144"/>
      <c r="C3" s="144"/>
      <c r="D3" s="144"/>
      <c r="E3" s="145"/>
      <c r="F3" s="144"/>
      <c r="G3" s="144"/>
      <c r="H3" s="144"/>
      <c r="I3" s="144"/>
      <c r="J3" s="145"/>
      <c r="K3" s="144"/>
      <c r="L3" s="144"/>
      <c r="M3" s="144"/>
      <c r="N3" s="144"/>
      <c r="O3" s="144"/>
      <c r="P3" s="144"/>
      <c r="Q3" s="160"/>
      <c r="R3" s="160"/>
      <c r="S3" s="144"/>
      <c r="T3" s="144"/>
      <c r="U3" s="144"/>
    </row>
    <row r="4" spans="1:66" s="143" customFormat="1" x14ac:dyDescent="0.25">
      <c r="A4" s="148"/>
      <c r="B4" s="147" t="s">
        <v>156</v>
      </c>
      <c r="C4" s="147"/>
      <c r="D4" s="144"/>
      <c r="E4" s="145"/>
      <c r="F4" s="144" t="s">
        <v>167</v>
      </c>
      <c r="G4" s="144"/>
      <c r="H4" s="144"/>
      <c r="I4" s="144"/>
      <c r="J4" s="145"/>
      <c r="K4" s="144"/>
      <c r="L4" s="144"/>
      <c r="M4" s="144"/>
      <c r="N4" s="144"/>
      <c r="O4" s="144"/>
      <c r="P4" s="144"/>
      <c r="Q4" s="160"/>
      <c r="R4" s="160"/>
      <c r="S4" s="144"/>
      <c r="T4" s="144"/>
      <c r="U4" s="144"/>
    </row>
    <row r="5" spans="1:66" s="143" customFormat="1" x14ac:dyDescent="0.25">
      <c r="A5" s="144"/>
      <c r="B5" s="147"/>
      <c r="C5" s="147"/>
      <c r="D5" s="144"/>
      <c r="E5" s="145"/>
      <c r="F5" s="144" t="s">
        <v>168</v>
      </c>
      <c r="G5" s="144"/>
      <c r="H5" s="144"/>
      <c r="I5" s="155" t="s">
        <v>172</v>
      </c>
      <c r="J5" s="155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</row>
    <row r="6" spans="1:66" s="143" customFormat="1" x14ac:dyDescent="0.25">
      <c r="A6" s="144"/>
      <c r="B6" s="147"/>
      <c r="C6" s="147"/>
      <c r="D6" s="144"/>
      <c r="E6" s="145"/>
      <c r="F6" s="144" t="s">
        <v>169</v>
      </c>
      <c r="G6" s="144"/>
      <c r="H6" s="144"/>
      <c r="I6" s="144"/>
      <c r="J6" s="145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</row>
    <row r="7" spans="1:66" s="143" customFormat="1" x14ac:dyDescent="0.25">
      <c r="A7" s="144"/>
      <c r="B7" s="147"/>
      <c r="C7" s="147"/>
      <c r="D7" s="144"/>
      <c r="E7" s="145"/>
      <c r="F7" s="144"/>
      <c r="G7" s="144"/>
      <c r="H7" s="144"/>
      <c r="I7" s="155"/>
      <c r="J7" s="155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</row>
    <row r="8" spans="1:66" s="143" customFormat="1" x14ac:dyDescent="0.25">
      <c r="A8" s="144"/>
      <c r="B8" s="144"/>
      <c r="C8" s="144"/>
      <c r="D8" s="144"/>
      <c r="E8" s="145"/>
      <c r="F8" s="144"/>
      <c r="G8" s="144"/>
      <c r="H8" s="144"/>
      <c r="I8" s="144"/>
      <c r="J8" s="145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</row>
    <row r="9" spans="1:66" s="116" customFormat="1" x14ac:dyDescent="0.25">
      <c r="A9" s="141" t="s">
        <v>154</v>
      </c>
      <c r="B9" s="141"/>
      <c r="C9" s="141"/>
      <c r="D9" s="141"/>
      <c r="E9" s="142"/>
      <c r="F9" s="141"/>
      <c r="G9" s="141"/>
      <c r="H9" s="141"/>
      <c r="I9" s="141"/>
      <c r="J9" s="142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</row>
    <row r="10" spans="1:66" s="116" customFormat="1" x14ac:dyDescent="0.25">
      <c r="A10" s="114" t="s">
        <v>155</v>
      </c>
      <c r="B10" s="114"/>
      <c r="C10" s="114"/>
      <c r="D10" s="114"/>
      <c r="E10" s="115"/>
      <c r="F10" s="114"/>
      <c r="G10" s="114"/>
      <c r="H10" s="114"/>
      <c r="I10" s="114"/>
      <c r="J10" s="115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</row>
    <row r="11" spans="1:66" x14ac:dyDescent="0.25">
      <c r="A11" s="100" t="s">
        <v>112</v>
      </c>
      <c r="B11" s="101">
        <v>45717</v>
      </c>
      <c r="C11" s="102" t="s">
        <v>113</v>
      </c>
      <c r="D11" s="101">
        <v>45731</v>
      </c>
      <c r="E11" s="102" t="s">
        <v>114</v>
      </c>
      <c r="F11" s="104">
        <v>45738</v>
      </c>
      <c r="G11" s="105"/>
      <c r="H11" s="106"/>
      <c r="I11" s="107"/>
      <c r="J11" s="108"/>
      <c r="K11" s="109">
        <v>0.32922358092875087</v>
      </c>
      <c r="L11" s="110"/>
      <c r="M11" s="109">
        <v>0.32922358092875087</v>
      </c>
      <c r="N11" s="111"/>
      <c r="O11" s="112"/>
      <c r="P11" s="111"/>
      <c r="Q11" s="111"/>
      <c r="R11" s="111"/>
      <c r="S11" s="111"/>
      <c r="T11" s="111"/>
      <c r="U11" s="103"/>
    </row>
    <row r="12" spans="1:66" s="116" customFormat="1" x14ac:dyDescent="0.25">
      <c r="A12" s="153" t="s">
        <v>170</v>
      </c>
      <c r="B12" s="153">
        <v>1138174</v>
      </c>
      <c r="C12" s="153">
        <v>981184.4827586204</v>
      </c>
      <c r="D12" s="153"/>
      <c r="E12" s="154">
        <v>0.32922358092875087</v>
      </c>
      <c r="F12" s="153">
        <v>301622.93</v>
      </c>
      <c r="G12" s="153">
        <v>86890.790000000008</v>
      </c>
      <c r="H12" s="153">
        <v>13800</v>
      </c>
      <c r="I12" s="153">
        <v>0</v>
      </c>
      <c r="J12" s="154">
        <v>0</v>
      </c>
      <c r="K12" s="153">
        <v>374713.72000000009</v>
      </c>
      <c r="L12" s="153">
        <v>0</v>
      </c>
      <c r="M12" s="153">
        <v>374713.72000000009</v>
      </c>
      <c r="N12" s="153">
        <v>80894.239999999991</v>
      </c>
      <c r="O12" s="153">
        <v>600</v>
      </c>
      <c r="P12" s="153">
        <v>0</v>
      </c>
      <c r="Q12" s="153">
        <v>0</v>
      </c>
      <c r="R12" s="153">
        <v>13200</v>
      </c>
      <c r="S12" s="153">
        <v>5996.55</v>
      </c>
      <c r="T12" s="153">
        <v>0</v>
      </c>
      <c r="U12" s="153">
        <v>0</v>
      </c>
    </row>
    <row r="13" spans="1:66" s="123" customFormat="1" ht="45" customHeight="1" x14ac:dyDescent="0.25">
      <c r="A13" s="117" t="s">
        <v>115</v>
      </c>
      <c r="B13" s="117" t="s">
        <v>63</v>
      </c>
      <c r="C13" s="117" t="s">
        <v>64</v>
      </c>
      <c r="D13" s="118" t="s">
        <v>116</v>
      </c>
      <c r="E13" s="119" t="s">
        <v>117</v>
      </c>
      <c r="F13" s="121" t="s">
        <v>118</v>
      </c>
      <c r="G13" s="120" t="s">
        <v>119</v>
      </c>
      <c r="H13" s="120" t="s">
        <v>120</v>
      </c>
      <c r="I13" s="121" t="s">
        <v>121</v>
      </c>
      <c r="J13" s="122" t="s">
        <v>122</v>
      </c>
      <c r="K13" s="117" t="s">
        <v>123</v>
      </c>
      <c r="L13" s="117" t="s">
        <v>124</v>
      </c>
      <c r="M13" s="117" t="s">
        <v>125</v>
      </c>
      <c r="N13" s="117" t="s">
        <v>126</v>
      </c>
      <c r="O13" s="117" t="s">
        <v>127</v>
      </c>
      <c r="P13" s="120" t="s">
        <v>65</v>
      </c>
      <c r="Q13" s="117" t="s">
        <v>66</v>
      </c>
      <c r="R13" s="117" t="s">
        <v>67</v>
      </c>
      <c r="S13" s="117" t="s">
        <v>128</v>
      </c>
      <c r="T13" s="117" t="s">
        <v>129</v>
      </c>
      <c r="U13" s="120" t="s">
        <v>12</v>
      </c>
    </row>
    <row r="14" spans="1:66" x14ac:dyDescent="0.25">
      <c r="A14" s="124" t="s">
        <v>56</v>
      </c>
      <c r="B14" s="125">
        <v>84720</v>
      </c>
      <c r="C14" s="125">
        <v>73034.482758620696</v>
      </c>
      <c r="D14" s="126" t="s">
        <v>142</v>
      </c>
      <c r="E14" s="127">
        <v>0.28000000000000003</v>
      </c>
      <c r="F14" s="125">
        <v>23721.600000000002</v>
      </c>
      <c r="G14" s="125">
        <v>1250</v>
      </c>
      <c r="H14" s="125">
        <v>4300</v>
      </c>
      <c r="I14" s="129"/>
      <c r="J14" s="130"/>
      <c r="K14" s="125">
        <v>20671.600000000002</v>
      </c>
      <c r="L14" s="129"/>
      <c r="M14" s="125">
        <v>20671.600000000002</v>
      </c>
      <c r="N14" s="131">
        <v>1250</v>
      </c>
      <c r="O14" s="131">
        <v>300</v>
      </c>
      <c r="P14" s="131">
        <v>0</v>
      </c>
      <c r="Q14" s="131">
        <v>0</v>
      </c>
      <c r="R14" s="131">
        <v>4000</v>
      </c>
      <c r="S14" s="131">
        <v>0</v>
      </c>
      <c r="T14" s="131">
        <v>0</v>
      </c>
      <c r="U14" s="128">
        <v>0</v>
      </c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</row>
    <row r="15" spans="1:66" x14ac:dyDescent="0.25">
      <c r="A15" s="124" t="s">
        <v>57</v>
      </c>
      <c r="B15" s="125">
        <v>0</v>
      </c>
      <c r="C15" s="125">
        <v>0</v>
      </c>
      <c r="D15" s="126" t="s">
        <v>46</v>
      </c>
      <c r="E15" s="127">
        <v>0</v>
      </c>
      <c r="F15" s="125">
        <v>0</v>
      </c>
      <c r="G15" s="125">
        <v>1050</v>
      </c>
      <c r="H15" s="125">
        <v>0</v>
      </c>
      <c r="I15" s="129"/>
      <c r="J15" s="130"/>
      <c r="K15" s="125">
        <v>1050</v>
      </c>
      <c r="L15" s="129"/>
      <c r="M15" s="125">
        <v>1050</v>
      </c>
      <c r="N15" s="131">
        <v>1050</v>
      </c>
      <c r="O15" s="131">
        <v>0</v>
      </c>
      <c r="P15" s="131">
        <v>0</v>
      </c>
      <c r="Q15" s="131">
        <v>0</v>
      </c>
      <c r="R15" s="131">
        <v>0</v>
      </c>
      <c r="S15" s="131">
        <v>0</v>
      </c>
      <c r="T15" s="131">
        <v>0</v>
      </c>
      <c r="U15" s="128">
        <v>0</v>
      </c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</row>
    <row r="16" spans="1:66" customFormat="1" x14ac:dyDescent="0.25">
      <c r="A16" s="124" t="s">
        <v>58</v>
      </c>
      <c r="B16" s="125">
        <v>0</v>
      </c>
      <c r="C16" s="125">
        <v>0</v>
      </c>
      <c r="D16" s="126" t="s">
        <v>143</v>
      </c>
      <c r="E16" s="127">
        <v>0</v>
      </c>
      <c r="F16" s="125">
        <v>0</v>
      </c>
      <c r="G16" s="125">
        <v>2364</v>
      </c>
      <c r="H16" s="125">
        <v>0</v>
      </c>
      <c r="I16" s="129"/>
      <c r="J16" s="130"/>
      <c r="K16" s="125">
        <v>2364</v>
      </c>
      <c r="L16" s="129"/>
      <c r="M16" s="125">
        <v>2364</v>
      </c>
      <c r="N16" s="131">
        <v>2364</v>
      </c>
      <c r="O16" s="131">
        <v>0</v>
      </c>
      <c r="P16" s="131">
        <v>0</v>
      </c>
      <c r="Q16" s="131">
        <v>0</v>
      </c>
      <c r="R16" s="131">
        <v>0</v>
      </c>
      <c r="S16" s="131">
        <v>0</v>
      </c>
      <c r="T16" s="131">
        <v>0</v>
      </c>
      <c r="U16" s="128">
        <v>0</v>
      </c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/>
      <c r="BB16" s="132"/>
      <c r="BC16" s="132"/>
      <c r="BD16" s="132"/>
      <c r="BE16" s="132"/>
      <c r="BF16" s="132"/>
      <c r="BG16" s="132"/>
      <c r="BH16" s="132"/>
      <c r="BI16" s="132"/>
      <c r="BJ16" s="132"/>
      <c r="BK16" s="132"/>
      <c r="BL16" s="132"/>
      <c r="BM16" s="132"/>
      <c r="BN16" s="132"/>
    </row>
    <row r="17" spans="1:66" x14ac:dyDescent="0.25">
      <c r="A17" s="124" t="s">
        <v>59</v>
      </c>
      <c r="B17" s="125">
        <v>10700</v>
      </c>
      <c r="C17" s="125">
        <v>9224.1379310344837</v>
      </c>
      <c r="D17" s="126" t="s">
        <v>142</v>
      </c>
      <c r="E17" s="127">
        <v>0.26</v>
      </c>
      <c r="F17" s="125">
        <v>2782</v>
      </c>
      <c r="G17" s="125">
        <v>100</v>
      </c>
      <c r="H17" s="125">
        <v>1500</v>
      </c>
      <c r="I17" s="129"/>
      <c r="J17" s="130"/>
      <c r="K17" s="125">
        <v>1382</v>
      </c>
      <c r="L17" s="129"/>
      <c r="M17" s="125">
        <v>1382</v>
      </c>
      <c r="N17" s="131">
        <v>100</v>
      </c>
      <c r="O17" s="131">
        <v>0</v>
      </c>
      <c r="P17" s="131">
        <v>0</v>
      </c>
      <c r="Q17" s="131">
        <v>0</v>
      </c>
      <c r="R17" s="131">
        <v>1500</v>
      </c>
      <c r="S17" s="131">
        <v>0</v>
      </c>
      <c r="T17" s="131">
        <v>0</v>
      </c>
      <c r="U17" s="128">
        <v>0</v>
      </c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</row>
    <row r="18" spans="1:66" x14ac:dyDescent="0.25">
      <c r="A18" s="124" t="s">
        <v>60</v>
      </c>
      <c r="B18" s="125">
        <v>12350</v>
      </c>
      <c r="C18" s="125">
        <v>10646.551724137931</v>
      </c>
      <c r="D18" s="126" t="s">
        <v>144</v>
      </c>
      <c r="E18" s="127">
        <v>0.3</v>
      </c>
      <c r="F18" s="125">
        <v>3705</v>
      </c>
      <c r="G18" s="125">
        <v>4240</v>
      </c>
      <c r="H18" s="125">
        <v>5000</v>
      </c>
      <c r="I18" s="129"/>
      <c r="J18" s="130"/>
      <c r="K18" s="125">
        <v>2945</v>
      </c>
      <c r="L18" s="129"/>
      <c r="M18" s="125">
        <v>2945</v>
      </c>
      <c r="N18" s="131">
        <v>3750</v>
      </c>
      <c r="O18" s="131">
        <v>0</v>
      </c>
      <c r="P18" s="131">
        <v>0</v>
      </c>
      <c r="Q18" s="131">
        <v>0</v>
      </c>
      <c r="R18" s="131">
        <v>5000</v>
      </c>
      <c r="S18" s="131">
        <v>490</v>
      </c>
      <c r="T18" s="131">
        <v>0</v>
      </c>
      <c r="U18" s="128">
        <v>0</v>
      </c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</row>
    <row r="19" spans="1:66" customFormat="1" x14ac:dyDescent="0.25">
      <c r="A19" s="124" t="s">
        <v>61</v>
      </c>
      <c r="B19" s="125">
        <v>0</v>
      </c>
      <c r="C19" s="125">
        <v>0</v>
      </c>
      <c r="D19" s="126" t="s">
        <v>143</v>
      </c>
      <c r="E19" s="127">
        <v>0</v>
      </c>
      <c r="F19" s="125">
        <v>0</v>
      </c>
      <c r="G19" s="125">
        <v>723.24</v>
      </c>
      <c r="H19" s="125">
        <v>0</v>
      </c>
      <c r="I19" s="129"/>
      <c r="J19" s="130"/>
      <c r="K19" s="125">
        <v>723.24</v>
      </c>
      <c r="L19" s="129"/>
      <c r="M19" s="125">
        <v>723.24</v>
      </c>
      <c r="N19" s="131">
        <v>723.24</v>
      </c>
      <c r="O19" s="131">
        <v>0</v>
      </c>
      <c r="P19" s="131">
        <v>0</v>
      </c>
      <c r="Q19" s="131">
        <v>0</v>
      </c>
      <c r="R19" s="131">
        <v>0</v>
      </c>
      <c r="S19" s="131">
        <v>0</v>
      </c>
      <c r="T19" s="131">
        <v>0</v>
      </c>
      <c r="U19" s="128">
        <v>0</v>
      </c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/>
      <c r="BB19" s="132"/>
      <c r="BC19" s="132"/>
      <c r="BD19" s="132"/>
      <c r="BE19" s="132"/>
      <c r="BF19" s="132"/>
      <c r="BG19" s="132"/>
      <c r="BH19" s="132"/>
      <c r="BI19" s="132"/>
      <c r="BJ19" s="132"/>
      <c r="BK19" s="132"/>
      <c r="BL19" s="132"/>
      <c r="BM19" s="132"/>
      <c r="BN19" s="132"/>
    </row>
    <row r="20" spans="1:66" x14ac:dyDescent="0.25">
      <c r="A20" s="124" t="s">
        <v>62</v>
      </c>
      <c r="B20" s="125">
        <v>0</v>
      </c>
      <c r="C20" s="125">
        <v>0</v>
      </c>
      <c r="D20" s="126" t="s">
        <v>143</v>
      </c>
      <c r="E20" s="127">
        <v>0</v>
      </c>
      <c r="F20" s="125">
        <v>0</v>
      </c>
      <c r="G20" s="125">
        <v>11330</v>
      </c>
      <c r="H20" s="125">
        <v>0</v>
      </c>
      <c r="I20" s="129"/>
      <c r="J20" s="130"/>
      <c r="K20" s="125">
        <v>11330</v>
      </c>
      <c r="L20" s="129"/>
      <c r="M20" s="125">
        <v>11330</v>
      </c>
      <c r="N20" s="131">
        <v>10950</v>
      </c>
      <c r="O20" s="131">
        <v>0</v>
      </c>
      <c r="P20" s="131">
        <v>0</v>
      </c>
      <c r="Q20" s="131">
        <v>0</v>
      </c>
      <c r="R20" s="131">
        <v>0</v>
      </c>
      <c r="S20" s="131">
        <v>380</v>
      </c>
      <c r="T20" s="131">
        <v>0</v>
      </c>
      <c r="U20" s="128">
        <v>0</v>
      </c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</row>
    <row r="21" spans="1:66" x14ac:dyDescent="0.25">
      <c r="A21" s="124" t="s">
        <v>90</v>
      </c>
      <c r="B21" s="125">
        <v>7558</v>
      </c>
      <c r="C21" s="125">
        <v>6515.5172413793107</v>
      </c>
      <c r="D21" s="126" t="s">
        <v>142</v>
      </c>
      <c r="E21" s="127">
        <v>0.24</v>
      </c>
      <c r="F21" s="125">
        <v>1813.9199999999998</v>
      </c>
      <c r="G21" s="125">
        <v>1100</v>
      </c>
      <c r="H21" s="125">
        <v>700</v>
      </c>
      <c r="I21" s="129"/>
      <c r="J21" s="130"/>
      <c r="K21" s="125">
        <v>2213.92</v>
      </c>
      <c r="L21" s="129"/>
      <c r="M21" s="125">
        <v>2213.92</v>
      </c>
      <c r="N21" s="131">
        <v>1100</v>
      </c>
      <c r="O21" s="131">
        <v>0</v>
      </c>
      <c r="P21" s="131">
        <v>0</v>
      </c>
      <c r="Q21" s="131">
        <v>0</v>
      </c>
      <c r="R21" s="131">
        <v>700</v>
      </c>
      <c r="S21" s="131">
        <v>0</v>
      </c>
      <c r="T21" s="131">
        <v>0</v>
      </c>
      <c r="U21" s="128">
        <v>0</v>
      </c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</row>
    <row r="22" spans="1:66" customFormat="1" x14ac:dyDescent="0.25">
      <c r="A22" s="124" t="s">
        <v>68</v>
      </c>
      <c r="B22" s="125">
        <v>0</v>
      </c>
      <c r="C22" s="125">
        <v>0</v>
      </c>
      <c r="D22" s="126" t="s">
        <v>143</v>
      </c>
      <c r="E22" s="127">
        <v>0</v>
      </c>
      <c r="F22" s="125">
        <v>0</v>
      </c>
      <c r="G22" s="125">
        <v>5087</v>
      </c>
      <c r="H22" s="125">
        <v>0</v>
      </c>
      <c r="I22" s="129"/>
      <c r="J22" s="130"/>
      <c r="K22" s="125">
        <v>5087</v>
      </c>
      <c r="L22" s="129"/>
      <c r="M22" s="125">
        <v>5087</v>
      </c>
      <c r="N22" s="131">
        <v>5087</v>
      </c>
      <c r="O22" s="131">
        <v>0</v>
      </c>
      <c r="P22" s="131">
        <v>0</v>
      </c>
      <c r="Q22" s="131">
        <v>0</v>
      </c>
      <c r="R22" s="131">
        <v>0</v>
      </c>
      <c r="S22" s="131">
        <v>0</v>
      </c>
      <c r="T22" s="131">
        <v>0</v>
      </c>
      <c r="U22" s="128">
        <v>0</v>
      </c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  <c r="AY22" s="132"/>
      <c r="AZ22" s="132"/>
      <c r="BA22" s="132"/>
      <c r="BB22" s="132"/>
      <c r="BC22" s="132"/>
      <c r="BD22" s="132"/>
      <c r="BE22" s="132"/>
      <c r="BF22" s="132"/>
      <c r="BG22" s="132"/>
      <c r="BH22" s="132"/>
      <c r="BI22" s="132"/>
      <c r="BJ22" s="132"/>
      <c r="BK22" s="132"/>
      <c r="BL22" s="132"/>
      <c r="BM22" s="132"/>
      <c r="BN22" s="132"/>
    </row>
    <row r="23" spans="1:66" x14ac:dyDescent="0.25">
      <c r="A23" s="124" t="s">
        <v>69</v>
      </c>
      <c r="B23" s="125">
        <v>0</v>
      </c>
      <c r="C23" s="125">
        <v>0</v>
      </c>
      <c r="D23" s="126" t="s">
        <v>142</v>
      </c>
      <c r="E23" s="127">
        <v>0</v>
      </c>
      <c r="F23" s="125">
        <v>0</v>
      </c>
      <c r="G23" s="125">
        <v>5556</v>
      </c>
      <c r="H23" s="125">
        <v>300</v>
      </c>
      <c r="I23" s="129"/>
      <c r="J23" s="130"/>
      <c r="K23" s="125">
        <v>5256</v>
      </c>
      <c r="L23" s="129"/>
      <c r="M23" s="125">
        <v>5256</v>
      </c>
      <c r="N23" s="131">
        <v>5556</v>
      </c>
      <c r="O23" s="131">
        <v>300</v>
      </c>
      <c r="P23" s="131">
        <v>0</v>
      </c>
      <c r="Q23" s="131">
        <v>0</v>
      </c>
      <c r="R23" s="131">
        <v>0</v>
      </c>
      <c r="S23" s="131">
        <v>0</v>
      </c>
      <c r="T23" s="131">
        <v>0</v>
      </c>
      <c r="U23" s="128">
        <v>0</v>
      </c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6"/>
      <c r="BF23" s="116"/>
      <c r="BG23" s="116"/>
      <c r="BH23" s="116"/>
      <c r="BI23" s="116"/>
      <c r="BJ23" s="116"/>
      <c r="BK23" s="116"/>
      <c r="BL23" s="116"/>
      <c r="BM23" s="116"/>
      <c r="BN23" s="116"/>
    </row>
    <row r="24" spans="1:66" customFormat="1" x14ac:dyDescent="0.25">
      <c r="A24" s="124" t="s">
        <v>51</v>
      </c>
      <c r="B24" s="125">
        <v>171563</v>
      </c>
      <c r="C24" s="125">
        <v>147899.13793103449</v>
      </c>
      <c r="D24" s="126" t="s">
        <v>145</v>
      </c>
      <c r="E24" s="127">
        <v>0.3</v>
      </c>
      <c r="F24" s="125">
        <v>51468.9</v>
      </c>
      <c r="G24" s="125">
        <v>13010</v>
      </c>
      <c r="H24" s="125">
        <v>0</v>
      </c>
      <c r="I24" s="129"/>
      <c r="J24" s="130"/>
      <c r="K24" s="125">
        <v>64478.9</v>
      </c>
      <c r="L24" s="129"/>
      <c r="M24" s="125">
        <v>64478.9</v>
      </c>
      <c r="N24" s="131">
        <v>9500</v>
      </c>
      <c r="O24" s="131">
        <v>0</v>
      </c>
      <c r="P24" s="131">
        <v>0</v>
      </c>
      <c r="Q24" s="131">
        <v>0</v>
      </c>
      <c r="R24" s="131">
        <v>0</v>
      </c>
      <c r="S24" s="131">
        <v>3509.9999999999995</v>
      </c>
      <c r="T24" s="131">
        <v>0</v>
      </c>
      <c r="U24" s="128">
        <v>0</v>
      </c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2"/>
      <c r="BB24" s="132"/>
      <c r="BC24" s="132"/>
      <c r="BD24" s="132"/>
      <c r="BE24" s="132"/>
      <c r="BF24" s="132"/>
      <c r="BG24" s="132"/>
      <c r="BH24" s="132"/>
      <c r="BI24" s="132"/>
      <c r="BJ24" s="132"/>
      <c r="BK24" s="132"/>
      <c r="BL24" s="132"/>
      <c r="BM24" s="132"/>
      <c r="BN24" s="132"/>
    </row>
    <row r="25" spans="1:66" customFormat="1" x14ac:dyDescent="0.25">
      <c r="A25" s="124" t="s">
        <v>48</v>
      </c>
      <c r="B25" s="125">
        <v>61050</v>
      </c>
      <c r="C25" s="125">
        <v>52629.310344827587</v>
      </c>
      <c r="D25" s="126" t="s">
        <v>142</v>
      </c>
      <c r="E25" s="127">
        <v>0.3</v>
      </c>
      <c r="F25" s="125">
        <v>18315</v>
      </c>
      <c r="G25" s="125">
        <v>5550</v>
      </c>
      <c r="H25" s="125">
        <v>0</v>
      </c>
      <c r="I25" s="129"/>
      <c r="J25" s="130"/>
      <c r="K25" s="125">
        <v>23865</v>
      </c>
      <c r="L25" s="129"/>
      <c r="M25" s="125">
        <v>23865</v>
      </c>
      <c r="N25" s="131">
        <v>5550</v>
      </c>
      <c r="O25" s="131">
        <v>0</v>
      </c>
      <c r="P25" s="131">
        <v>0</v>
      </c>
      <c r="Q25" s="131">
        <v>0</v>
      </c>
      <c r="R25" s="131">
        <v>0</v>
      </c>
      <c r="S25" s="131">
        <v>0</v>
      </c>
      <c r="T25" s="131">
        <v>0</v>
      </c>
      <c r="U25" s="128">
        <v>0</v>
      </c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32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2"/>
      <c r="AU25" s="132"/>
      <c r="AV25" s="132"/>
      <c r="AW25" s="132"/>
      <c r="AX25" s="132"/>
      <c r="AY25" s="132"/>
      <c r="AZ25" s="132"/>
      <c r="BA25" s="132"/>
      <c r="BB25" s="132"/>
      <c r="BC25" s="132"/>
      <c r="BD25" s="132"/>
      <c r="BE25" s="132"/>
      <c r="BF25" s="132"/>
      <c r="BG25" s="132"/>
      <c r="BH25" s="132"/>
      <c r="BI25" s="132"/>
      <c r="BJ25" s="132"/>
      <c r="BK25" s="132"/>
      <c r="BL25" s="132"/>
      <c r="BM25" s="132"/>
      <c r="BN25" s="132"/>
    </row>
    <row r="26" spans="1:66" x14ac:dyDescent="0.25">
      <c r="A26" s="124" t="s">
        <v>70</v>
      </c>
      <c r="B26" s="125">
        <v>17100</v>
      </c>
      <c r="C26" s="125">
        <v>14741.379310344828</v>
      </c>
      <c r="D26" s="126" t="s">
        <v>46</v>
      </c>
      <c r="E26" s="127">
        <v>0.18</v>
      </c>
      <c r="F26" s="125">
        <v>3078</v>
      </c>
      <c r="G26" s="125">
        <v>700</v>
      </c>
      <c r="H26" s="125">
        <v>0</v>
      </c>
      <c r="I26" s="129"/>
      <c r="J26" s="130"/>
      <c r="K26" s="125">
        <v>3778</v>
      </c>
      <c r="L26" s="129"/>
      <c r="M26" s="125">
        <v>3778</v>
      </c>
      <c r="N26" s="131">
        <v>700</v>
      </c>
      <c r="O26" s="131">
        <v>0</v>
      </c>
      <c r="P26" s="131">
        <v>0</v>
      </c>
      <c r="Q26" s="131">
        <v>0</v>
      </c>
      <c r="R26" s="131">
        <v>0</v>
      </c>
      <c r="S26" s="131">
        <v>0</v>
      </c>
      <c r="T26" s="131">
        <v>0</v>
      </c>
      <c r="U26" s="128">
        <v>0</v>
      </c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</row>
    <row r="27" spans="1:66" x14ac:dyDescent="0.25">
      <c r="A27" s="124" t="s">
        <v>71</v>
      </c>
      <c r="B27" s="125">
        <v>78950</v>
      </c>
      <c r="C27" s="125">
        <v>68060.344827586217</v>
      </c>
      <c r="D27" s="126" t="s">
        <v>46</v>
      </c>
      <c r="E27" s="127">
        <v>0.28000000000000003</v>
      </c>
      <c r="F27" s="125">
        <v>22106.000000000004</v>
      </c>
      <c r="G27" s="125">
        <v>1800</v>
      </c>
      <c r="H27" s="125">
        <v>0</v>
      </c>
      <c r="I27" s="129"/>
      <c r="J27" s="130"/>
      <c r="K27" s="125">
        <v>23906.000000000004</v>
      </c>
      <c r="L27" s="129"/>
      <c r="M27" s="125">
        <v>23906.000000000004</v>
      </c>
      <c r="N27" s="131">
        <v>1800</v>
      </c>
      <c r="O27" s="131">
        <v>0</v>
      </c>
      <c r="P27" s="131">
        <v>0</v>
      </c>
      <c r="Q27" s="131">
        <v>0</v>
      </c>
      <c r="R27" s="131">
        <v>0</v>
      </c>
      <c r="S27" s="131">
        <v>0</v>
      </c>
      <c r="T27" s="131">
        <v>0</v>
      </c>
      <c r="U27" s="128">
        <v>0</v>
      </c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</row>
    <row r="28" spans="1:66" x14ac:dyDescent="0.25">
      <c r="A28" s="124" t="s">
        <v>72</v>
      </c>
      <c r="B28" s="125">
        <v>8000</v>
      </c>
      <c r="C28" s="125">
        <v>6896.5517241379312</v>
      </c>
      <c r="D28" s="126" t="s">
        <v>146</v>
      </c>
      <c r="E28" s="127">
        <v>0.28000000000000003</v>
      </c>
      <c r="F28" s="125">
        <v>2240</v>
      </c>
      <c r="G28" s="125">
        <v>600</v>
      </c>
      <c r="H28" s="125">
        <v>0</v>
      </c>
      <c r="I28" s="129"/>
      <c r="J28" s="130"/>
      <c r="K28" s="125">
        <v>2840</v>
      </c>
      <c r="L28" s="129"/>
      <c r="M28" s="125">
        <v>2840</v>
      </c>
      <c r="N28" s="131">
        <v>600</v>
      </c>
      <c r="O28" s="131">
        <v>0</v>
      </c>
      <c r="P28" s="131">
        <v>0</v>
      </c>
      <c r="Q28" s="131">
        <v>0</v>
      </c>
      <c r="R28" s="131">
        <v>0</v>
      </c>
      <c r="S28" s="131">
        <v>0</v>
      </c>
      <c r="T28" s="131">
        <v>0</v>
      </c>
      <c r="U28" s="128">
        <v>0</v>
      </c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</row>
    <row r="29" spans="1:66" x14ac:dyDescent="0.25">
      <c r="A29" s="124" t="s">
        <v>130</v>
      </c>
      <c r="B29" s="125">
        <v>1000</v>
      </c>
      <c r="C29" s="125">
        <v>862.06896551724139</v>
      </c>
      <c r="D29" s="126" t="s">
        <v>142</v>
      </c>
      <c r="E29" s="127">
        <v>0.3</v>
      </c>
      <c r="F29" s="125">
        <v>300</v>
      </c>
      <c r="G29" s="125">
        <v>0</v>
      </c>
      <c r="H29" s="125">
        <v>0</v>
      </c>
      <c r="I29" s="129"/>
      <c r="J29" s="130"/>
      <c r="K29" s="125">
        <v>300</v>
      </c>
      <c r="L29" s="129"/>
      <c r="M29" s="125">
        <v>300</v>
      </c>
      <c r="N29" s="131">
        <v>0</v>
      </c>
      <c r="O29" s="131">
        <v>0</v>
      </c>
      <c r="P29" s="131">
        <v>0</v>
      </c>
      <c r="Q29" s="131">
        <v>0</v>
      </c>
      <c r="R29" s="131">
        <v>0</v>
      </c>
      <c r="S29" s="131">
        <v>0</v>
      </c>
      <c r="T29" s="131">
        <v>0</v>
      </c>
      <c r="U29" s="128">
        <v>0</v>
      </c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</row>
    <row r="30" spans="1:66" customFormat="1" x14ac:dyDescent="0.25">
      <c r="A30" s="124" t="s">
        <v>95</v>
      </c>
      <c r="B30" s="125">
        <v>100100</v>
      </c>
      <c r="C30" s="125">
        <v>86293.10344827587</v>
      </c>
      <c r="D30" s="126" t="s">
        <v>147</v>
      </c>
      <c r="E30" s="127">
        <v>0.3</v>
      </c>
      <c r="F30" s="125">
        <v>30030</v>
      </c>
      <c r="G30" s="125">
        <v>200</v>
      </c>
      <c r="H30" s="125">
        <v>0</v>
      </c>
      <c r="I30" s="129"/>
      <c r="J30" s="130"/>
      <c r="K30" s="125">
        <v>30230</v>
      </c>
      <c r="L30" s="129"/>
      <c r="M30" s="125">
        <v>30230</v>
      </c>
      <c r="N30" s="131">
        <v>200</v>
      </c>
      <c r="O30" s="131">
        <v>0</v>
      </c>
      <c r="P30" s="131">
        <v>0</v>
      </c>
      <c r="Q30" s="131">
        <v>0</v>
      </c>
      <c r="R30" s="131">
        <v>0</v>
      </c>
      <c r="S30" s="131">
        <v>0</v>
      </c>
      <c r="T30" s="131">
        <v>0</v>
      </c>
      <c r="U30" s="128">
        <v>0</v>
      </c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2"/>
      <c r="AX30" s="132"/>
      <c r="AY30" s="132"/>
      <c r="AZ30" s="132"/>
      <c r="BA30" s="132"/>
      <c r="BB30" s="132"/>
      <c r="BC30" s="132"/>
      <c r="BD30" s="132"/>
      <c r="BE30" s="132"/>
      <c r="BF30" s="132"/>
      <c r="BG30" s="132"/>
      <c r="BH30" s="132"/>
      <c r="BI30" s="132"/>
      <c r="BJ30" s="132"/>
      <c r="BK30" s="132"/>
      <c r="BL30" s="132"/>
      <c r="BM30" s="132"/>
      <c r="BN30" s="132"/>
    </row>
    <row r="31" spans="1:66" x14ac:dyDescent="0.25">
      <c r="A31" s="124" t="s">
        <v>131</v>
      </c>
      <c r="B31" s="125">
        <v>7400</v>
      </c>
      <c r="C31" s="125">
        <v>6379.310344827587</v>
      </c>
      <c r="D31" s="126" t="s">
        <v>146</v>
      </c>
      <c r="E31" s="127">
        <v>0.27</v>
      </c>
      <c r="F31" s="125">
        <v>1998.0000000000002</v>
      </c>
      <c r="G31" s="125">
        <v>400</v>
      </c>
      <c r="H31" s="125">
        <v>500</v>
      </c>
      <c r="I31" s="129"/>
      <c r="J31" s="130"/>
      <c r="K31" s="125">
        <v>1898</v>
      </c>
      <c r="L31" s="129"/>
      <c r="M31" s="125">
        <v>1898</v>
      </c>
      <c r="N31" s="131">
        <v>400</v>
      </c>
      <c r="O31" s="131">
        <v>0</v>
      </c>
      <c r="P31" s="131">
        <v>0</v>
      </c>
      <c r="Q31" s="131">
        <v>0</v>
      </c>
      <c r="R31" s="131">
        <v>500</v>
      </c>
      <c r="S31" s="131">
        <v>0</v>
      </c>
      <c r="T31" s="131">
        <v>0</v>
      </c>
      <c r="U31" s="128">
        <v>0</v>
      </c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</row>
    <row r="32" spans="1:66" x14ac:dyDescent="0.25">
      <c r="A32" s="124" t="s">
        <v>52</v>
      </c>
      <c r="B32" s="125">
        <v>13475</v>
      </c>
      <c r="C32" s="125">
        <v>11616.379310344828</v>
      </c>
      <c r="D32" s="126" t="s">
        <v>142</v>
      </c>
      <c r="E32" s="127">
        <v>0.3</v>
      </c>
      <c r="F32" s="125">
        <v>4042.5</v>
      </c>
      <c r="G32" s="125">
        <v>100</v>
      </c>
      <c r="H32" s="125">
        <v>1500</v>
      </c>
      <c r="I32" s="129"/>
      <c r="J32" s="130"/>
      <c r="K32" s="125">
        <v>2642.5</v>
      </c>
      <c r="L32" s="129"/>
      <c r="M32" s="125">
        <v>2642.5</v>
      </c>
      <c r="N32" s="131">
        <v>100</v>
      </c>
      <c r="O32" s="131">
        <v>0</v>
      </c>
      <c r="P32" s="131">
        <v>0</v>
      </c>
      <c r="Q32" s="131">
        <v>0</v>
      </c>
      <c r="R32" s="131">
        <v>1500</v>
      </c>
      <c r="S32" s="131">
        <v>0</v>
      </c>
      <c r="T32" s="131">
        <v>0</v>
      </c>
      <c r="U32" s="128">
        <v>0</v>
      </c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</row>
    <row r="33" spans="1:66" x14ac:dyDescent="0.25">
      <c r="A33" s="124" t="s">
        <v>85</v>
      </c>
      <c r="B33" s="125">
        <v>22550</v>
      </c>
      <c r="C33" s="125">
        <v>19439.655172413793</v>
      </c>
      <c r="D33" s="126" t="s">
        <v>142</v>
      </c>
      <c r="E33" s="127">
        <v>0.24</v>
      </c>
      <c r="F33" s="125">
        <v>5412</v>
      </c>
      <c r="G33" s="125">
        <v>100</v>
      </c>
      <c r="H33" s="125">
        <v>0</v>
      </c>
      <c r="I33" s="129"/>
      <c r="J33" s="130"/>
      <c r="K33" s="125">
        <v>5512</v>
      </c>
      <c r="L33" s="129"/>
      <c r="M33" s="125">
        <v>5512</v>
      </c>
      <c r="N33" s="131">
        <v>100</v>
      </c>
      <c r="O33" s="131">
        <v>0</v>
      </c>
      <c r="P33" s="131">
        <v>0</v>
      </c>
      <c r="Q33" s="131">
        <v>0</v>
      </c>
      <c r="R33" s="131">
        <v>0</v>
      </c>
      <c r="S33" s="131">
        <v>0</v>
      </c>
      <c r="T33" s="131">
        <v>0</v>
      </c>
      <c r="U33" s="128">
        <v>0</v>
      </c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</row>
    <row r="34" spans="1:66" customFormat="1" x14ac:dyDescent="0.25">
      <c r="A34" s="124" t="s">
        <v>132</v>
      </c>
      <c r="B34" s="125">
        <v>14800</v>
      </c>
      <c r="C34" s="125">
        <v>12758.620689655174</v>
      </c>
      <c r="D34" s="126" t="s">
        <v>142</v>
      </c>
      <c r="E34" s="127">
        <v>0.22</v>
      </c>
      <c r="F34" s="125">
        <v>3256</v>
      </c>
      <c r="G34" s="125">
        <v>100</v>
      </c>
      <c r="H34" s="125">
        <v>0</v>
      </c>
      <c r="I34" s="129"/>
      <c r="J34" s="130"/>
      <c r="K34" s="125">
        <v>3356</v>
      </c>
      <c r="L34" s="129"/>
      <c r="M34" s="125">
        <v>3356</v>
      </c>
      <c r="N34" s="131">
        <v>100</v>
      </c>
      <c r="O34" s="131">
        <v>0</v>
      </c>
      <c r="P34" s="131">
        <v>0</v>
      </c>
      <c r="Q34" s="131">
        <v>0</v>
      </c>
      <c r="R34" s="131">
        <v>0</v>
      </c>
      <c r="S34" s="131">
        <v>0</v>
      </c>
      <c r="T34" s="131">
        <v>0</v>
      </c>
      <c r="U34" s="128">
        <v>0</v>
      </c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2"/>
      <c r="AX34" s="132"/>
      <c r="AY34" s="132"/>
      <c r="AZ34" s="132"/>
      <c r="BA34" s="132"/>
      <c r="BB34" s="132"/>
      <c r="BC34" s="132"/>
      <c r="BD34" s="132"/>
      <c r="BE34" s="132"/>
      <c r="BF34" s="132"/>
      <c r="BG34" s="132"/>
      <c r="BH34" s="132"/>
      <c r="BI34" s="132"/>
      <c r="BJ34" s="132"/>
      <c r="BK34" s="132"/>
      <c r="BL34" s="132"/>
      <c r="BM34" s="132"/>
      <c r="BN34" s="132"/>
    </row>
    <row r="35" spans="1:66" customFormat="1" x14ac:dyDescent="0.25">
      <c r="A35" s="124" t="s">
        <v>91</v>
      </c>
      <c r="B35" s="125">
        <v>24300</v>
      </c>
      <c r="C35" s="125">
        <v>20948.275862068967</v>
      </c>
      <c r="D35" s="126" t="s">
        <v>148</v>
      </c>
      <c r="E35" s="127">
        <v>0.18</v>
      </c>
      <c r="F35" s="125">
        <v>4374</v>
      </c>
      <c r="G35" s="125">
        <v>1200</v>
      </c>
      <c r="H35" s="125">
        <v>0</v>
      </c>
      <c r="I35" s="129"/>
      <c r="J35" s="130"/>
      <c r="K35" s="125">
        <v>5574</v>
      </c>
      <c r="L35" s="129"/>
      <c r="M35" s="125">
        <v>5574</v>
      </c>
      <c r="N35" s="131">
        <v>1200</v>
      </c>
      <c r="O35" s="131">
        <v>0</v>
      </c>
      <c r="P35" s="131">
        <v>0</v>
      </c>
      <c r="Q35" s="131">
        <v>0</v>
      </c>
      <c r="R35" s="131">
        <v>0</v>
      </c>
      <c r="S35" s="131">
        <v>0</v>
      </c>
      <c r="T35" s="131">
        <v>0</v>
      </c>
      <c r="U35" s="128">
        <v>0</v>
      </c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  <c r="BC35" s="132"/>
      <c r="BD35" s="132"/>
      <c r="BE35" s="132"/>
      <c r="BF35" s="132"/>
      <c r="BG35" s="132"/>
      <c r="BH35" s="132"/>
      <c r="BI35" s="132"/>
      <c r="BJ35" s="132"/>
      <c r="BK35" s="132"/>
      <c r="BL35" s="132"/>
      <c r="BM35" s="132"/>
      <c r="BN35" s="132"/>
    </row>
    <row r="36" spans="1:66" x14ac:dyDescent="0.25">
      <c r="A36" s="124" t="s">
        <v>93</v>
      </c>
      <c r="B36" s="125">
        <v>41550</v>
      </c>
      <c r="C36" s="125">
        <v>35818.965517241384</v>
      </c>
      <c r="D36" s="126" t="s">
        <v>146</v>
      </c>
      <c r="E36" s="127">
        <v>0.3</v>
      </c>
      <c r="F36" s="125">
        <v>12465</v>
      </c>
      <c r="G36" s="125">
        <v>3050</v>
      </c>
      <c r="H36" s="125">
        <v>0</v>
      </c>
      <c r="I36" s="129"/>
      <c r="J36" s="130"/>
      <c r="K36" s="125">
        <v>15515</v>
      </c>
      <c r="L36" s="129"/>
      <c r="M36" s="125">
        <v>15515</v>
      </c>
      <c r="N36" s="131">
        <v>3050</v>
      </c>
      <c r="O36" s="131">
        <v>0</v>
      </c>
      <c r="P36" s="131">
        <v>0</v>
      </c>
      <c r="Q36" s="131">
        <v>0</v>
      </c>
      <c r="R36" s="131">
        <v>0</v>
      </c>
      <c r="S36" s="131">
        <v>0</v>
      </c>
      <c r="T36" s="131">
        <v>0</v>
      </c>
      <c r="U36" s="128">
        <v>0</v>
      </c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  <c r="AS36" s="116"/>
      <c r="AT36" s="116"/>
      <c r="AU36" s="116"/>
      <c r="AV36" s="116"/>
      <c r="AW36" s="116"/>
      <c r="AX36" s="116"/>
      <c r="AY36" s="116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</row>
    <row r="37" spans="1:66" x14ac:dyDescent="0.25">
      <c r="A37" s="124" t="s">
        <v>133</v>
      </c>
      <c r="B37" s="125">
        <v>8500</v>
      </c>
      <c r="C37" s="125">
        <v>7327.5862068965525</v>
      </c>
      <c r="D37" s="126" t="s">
        <v>142</v>
      </c>
      <c r="E37" s="127">
        <v>0.27</v>
      </c>
      <c r="F37" s="125">
        <v>2295</v>
      </c>
      <c r="G37" s="125">
        <v>300</v>
      </c>
      <c r="H37" s="125">
        <v>0</v>
      </c>
      <c r="I37" s="129"/>
      <c r="J37" s="130"/>
      <c r="K37" s="125">
        <v>2595</v>
      </c>
      <c r="L37" s="129"/>
      <c r="M37" s="125">
        <v>2595</v>
      </c>
      <c r="N37" s="131">
        <v>300</v>
      </c>
      <c r="O37" s="131">
        <v>0</v>
      </c>
      <c r="P37" s="131">
        <v>0</v>
      </c>
      <c r="Q37" s="131">
        <v>0</v>
      </c>
      <c r="R37" s="131">
        <v>0</v>
      </c>
      <c r="S37" s="131">
        <v>0</v>
      </c>
      <c r="T37" s="131">
        <v>0</v>
      </c>
      <c r="U37" s="128">
        <v>0</v>
      </c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6"/>
      <c r="BF37" s="116"/>
      <c r="BG37" s="116"/>
      <c r="BH37" s="116"/>
      <c r="BI37" s="116"/>
      <c r="BJ37" s="116"/>
      <c r="BK37" s="116"/>
      <c r="BL37" s="116"/>
      <c r="BM37" s="116"/>
      <c r="BN37" s="116"/>
    </row>
    <row r="38" spans="1:66" customFormat="1" x14ac:dyDescent="0.25">
      <c r="A38" s="124" t="s">
        <v>92</v>
      </c>
      <c r="B38" s="125">
        <v>23900</v>
      </c>
      <c r="C38" s="125">
        <v>20603.448275862069</v>
      </c>
      <c r="D38" s="126" t="s">
        <v>142</v>
      </c>
      <c r="E38" s="127">
        <v>0.27</v>
      </c>
      <c r="F38" s="125">
        <v>6453</v>
      </c>
      <c r="G38" s="125">
        <v>850</v>
      </c>
      <c r="H38" s="125">
        <v>0</v>
      </c>
      <c r="I38" s="129"/>
      <c r="J38" s="130"/>
      <c r="K38" s="125">
        <v>7303</v>
      </c>
      <c r="L38" s="129"/>
      <c r="M38" s="125">
        <v>7303</v>
      </c>
      <c r="N38" s="131">
        <v>850</v>
      </c>
      <c r="O38" s="131">
        <v>0</v>
      </c>
      <c r="P38" s="131">
        <v>0</v>
      </c>
      <c r="Q38" s="131">
        <v>0</v>
      </c>
      <c r="R38" s="131">
        <v>0</v>
      </c>
      <c r="S38" s="131">
        <v>0</v>
      </c>
      <c r="T38" s="131">
        <v>0</v>
      </c>
      <c r="U38" s="128">
        <v>0</v>
      </c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2"/>
      <c r="AX38" s="132"/>
      <c r="AY38" s="132"/>
      <c r="AZ38" s="132"/>
      <c r="BA38" s="132"/>
      <c r="BB38" s="132"/>
      <c r="BC38" s="132"/>
      <c r="BD38" s="132"/>
      <c r="BE38" s="132"/>
      <c r="BF38" s="132"/>
      <c r="BG38" s="132"/>
      <c r="BH38" s="132"/>
      <c r="BI38" s="132"/>
      <c r="BJ38" s="132"/>
      <c r="BK38" s="132"/>
      <c r="BL38" s="132"/>
      <c r="BM38" s="132"/>
      <c r="BN38" s="132"/>
    </row>
    <row r="39" spans="1:66" x14ac:dyDescent="0.25">
      <c r="A39" s="124" t="s">
        <v>134</v>
      </c>
      <c r="B39" s="125">
        <v>7650</v>
      </c>
      <c r="C39" s="125">
        <v>6594.8275862068967</v>
      </c>
      <c r="D39" s="126" t="s">
        <v>142</v>
      </c>
      <c r="E39" s="127">
        <v>0.24</v>
      </c>
      <c r="F39" s="125">
        <v>1836</v>
      </c>
      <c r="G39" s="125">
        <v>100</v>
      </c>
      <c r="H39" s="125">
        <v>0</v>
      </c>
      <c r="I39" s="129"/>
      <c r="J39" s="130"/>
      <c r="K39" s="125">
        <v>1936</v>
      </c>
      <c r="L39" s="129"/>
      <c r="M39" s="125">
        <v>1936</v>
      </c>
      <c r="N39" s="131">
        <v>100</v>
      </c>
      <c r="O39" s="131">
        <v>0</v>
      </c>
      <c r="P39" s="131">
        <v>0</v>
      </c>
      <c r="Q39" s="131">
        <v>0</v>
      </c>
      <c r="R39" s="131">
        <v>0</v>
      </c>
      <c r="S39" s="131">
        <v>0</v>
      </c>
      <c r="T39" s="131">
        <v>0</v>
      </c>
      <c r="U39" s="128">
        <v>0</v>
      </c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116"/>
      <c r="AT39" s="116"/>
      <c r="AU39" s="116"/>
      <c r="AV39" s="116"/>
      <c r="AW39" s="116"/>
      <c r="AX39" s="116"/>
      <c r="AY39" s="116"/>
      <c r="AZ39" s="116"/>
      <c r="BA39" s="116"/>
      <c r="BB39" s="116"/>
      <c r="BC39" s="116"/>
      <c r="BD39" s="116"/>
      <c r="BE39" s="116"/>
      <c r="BF39" s="116"/>
      <c r="BG39" s="116"/>
      <c r="BH39" s="116"/>
      <c r="BI39" s="116"/>
      <c r="BJ39" s="116"/>
      <c r="BK39" s="116"/>
      <c r="BL39" s="116"/>
      <c r="BM39" s="116"/>
      <c r="BN39" s="116"/>
    </row>
    <row r="40" spans="1:66" customFormat="1" x14ac:dyDescent="0.25">
      <c r="A40" s="124" t="s">
        <v>135</v>
      </c>
      <c r="B40" s="125">
        <v>0</v>
      </c>
      <c r="C40" s="125">
        <v>0</v>
      </c>
      <c r="D40" s="126" t="s">
        <v>149</v>
      </c>
      <c r="E40" s="127">
        <v>0</v>
      </c>
      <c r="F40" s="125">
        <v>0</v>
      </c>
      <c r="G40" s="125">
        <v>2750</v>
      </c>
      <c r="H40" s="125">
        <v>0</v>
      </c>
      <c r="I40" s="129"/>
      <c r="J40" s="130"/>
      <c r="K40" s="125">
        <v>2750</v>
      </c>
      <c r="L40" s="129"/>
      <c r="M40" s="125">
        <v>2750</v>
      </c>
      <c r="N40" s="131">
        <v>2750</v>
      </c>
      <c r="O40" s="131">
        <v>0</v>
      </c>
      <c r="P40" s="131">
        <v>0</v>
      </c>
      <c r="Q40" s="131">
        <v>0</v>
      </c>
      <c r="R40" s="131">
        <v>0</v>
      </c>
      <c r="S40" s="131">
        <v>0</v>
      </c>
      <c r="T40" s="131">
        <v>0</v>
      </c>
      <c r="U40" s="128">
        <v>0</v>
      </c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32"/>
      <c r="AH40" s="132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  <c r="AW40" s="132"/>
      <c r="AX40" s="132"/>
      <c r="AY40" s="132"/>
      <c r="AZ40" s="132"/>
      <c r="BA40" s="132"/>
      <c r="BB40" s="132"/>
      <c r="BC40" s="132"/>
      <c r="BD40" s="132"/>
      <c r="BE40" s="132"/>
      <c r="BF40" s="132"/>
      <c r="BG40" s="132"/>
      <c r="BH40" s="132"/>
      <c r="BI40" s="132"/>
      <c r="BJ40" s="132"/>
      <c r="BK40" s="132"/>
      <c r="BL40" s="132"/>
      <c r="BM40" s="132"/>
      <c r="BN40" s="132"/>
    </row>
    <row r="41" spans="1:66" customFormat="1" x14ac:dyDescent="0.25">
      <c r="A41" s="124" t="s">
        <v>39</v>
      </c>
      <c r="B41" s="125">
        <v>16730</v>
      </c>
      <c r="C41" s="125">
        <v>14422.413793103449</v>
      </c>
      <c r="D41" s="126" t="s">
        <v>150</v>
      </c>
      <c r="E41" s="127">
        <v>0.34</v>
      </c>
      <c r="F41" s="125">
        <v>5688.2000000000007</v>
      </c>
      <c r="G41" s="125">
        <v>1616.55</v>
      </c>
      <c r="H41" s="125">
        <v>0</v>
      </c>
      <c r="I41" s="129"/>
      <c r="J41" s="130"/>
      <c r="K41" s="125">
        <v>7304.7500000000009</v>
      </c>
      <c r="L41" s="129"/>
      <c r="M41" s="125">
        <v>7304.7500000000009</v>
      </c>
      <c r="N41" s="131">
        <v>0</v>
      </c>
      <c r="O41" s="131">
        <v>0</v>
      </c>
      <c r="P41" s="131">
        <v>0</v>
      </c>
      <c r="Q41" s="131">
        <v>0</v>
      </c>
      <c r="R41" s="131">
        <v>0</v>
      </c>
      <c r="S41" s="131">
        <v>1616.55</v>
      </c>
      <c r="T41" s="131">
        <v>0</v>
      </c>
      <c r="U41" s="128">
        <v>0</v>
      </c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/>
      <c r="AI41" s="132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32"/>
      <c r="AU41" s="132"/>
      <c r="AV41" s="132"/>
      <c r="AW41" s="132"/>
      <c r="AX41" s="132"/>
      <c r="AY41" s="132"/>
      <c r="AZ41" s="132"/>
      <c r="BA41" s="132"/>
      <c r="BB41" s="132"/>
      <c r="BC41" s="132"/>
      <c r="BD41" s="132"/>
      <c r="BE41" s="132"/>
      <c r="BF41" s="132"/>
      <c r="BG41" s="132"/>
      <c r="BH41" s="132"/>
      <c r="BI41" s="132"/>
      <c r="BJ41" s="132"/>
      <c r="BK41" s="132"/>
      <c r="BL41" s="132"/>
      <c r="BM41" s="132"/>
      <c r="BN41" s="132"/>
    </row>
    <row r="42" spans="1:66" x14ac:dyDescent="0.25">
      <c r="A42" s="124" t="s">
        <v>136</v>
      </c>
      <c r="B42" s="125">
        <v>0</v>
      </c>
      <c r="C42" s="125">
        <v>0</v>
      </c>
      <c r="D42" s="126" t="s">
        <v>143</v>
      </c>
      <c r="E42" s="127">
        <v>0</v>
      </c>
      <c r="F42" s="125">
        <v>0</v>
      </c>
      <c r="G42" s="125">
        <v>1079</v>
      </c>
      <c r="H42" s="125">
        <v>0</v>
      </c>
      <c r="I42" s="129"/>
      <c r="J42" s="130"/>
      <c r="K42" s="125">
        <v>1079</v>
      </c>
      <c r="L42" s="129"/>
      <c r="M42" s="125">
        <v>1079</v>
      </c>
      <c r="N42" s="131">
        <v>1079</v>
      </c>
      <c r="O42" s="131">
        <v>0</v>
      </c>
      <c r="P42" s="131">
        <v>0</v>
      </c>
      <c r="Q42" s="131">
        <v>0</v>
      </c>
      <c r="R42" s="131">
        <v>0</v>
      </c>
      <c r="S42" s="131">
        <v>0</v>
      </c>
      <c r="T42" s="131">
        <v>0</v>
      </c>
      <c r="U42" s="128">
        <v>0</v>
      </c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6"/>
      <c r="BD42" s="116"/>
      <c r="BE42" s="116"/>
      <c r="BF42" s="116"/>
      <c r="BG42" s="116"/>
      <c r="BH42" s="116"/>
      <c r="BI42" s="116"/>
      <c r="BJ42" s="116"/>
      <c r="BK42" s="116"/>
      <c r="BL42" s="116"/>
      <c r="BM42" s="116"/>
      <c r="BN42" s="116"/>
    </row>
    <row r="43" spans="1:66" x14ac:dyDescent="0.25">
      <c r="A43" s="124" t="s">
        <v>137</v>
      </c>
      <c r="B43" s="125">
        <v>66750</v>
      </c>
      <c r="C43" s="125">
        <v>57543.10344827587</v>
      </c>
      <c r="D43" s="126" t="s">
        <v>46</v>
      </c>
      <c r="E43" s="127">
        <v>0.3</v>
      </c>
      <c r="F43" s="125">
        <v>20025</v>
      </c>
      <c r="G43" s="125">
        <v>3000</v>
      </c>
      <c r="H43" s="125">
        <v>0</v>
      </c>
      <c r="I43" s="129"/>
      <c r="J43" s="130"/>
      <c r="K43" s="125">
        <v>23025</v>
      </c>
      <c r="L43" s="129"/>
      <c r="M43" s="125">
        <v>23025</v>
      </c>
      <c r="N43" s="131">
        <v>3000</v>
      </c>
      <c r="O43" s="131">
        <v>0</v>
      </c>
      <c r="P43" s="131">
        <v>0</v>
      </c>
      <c r="Q43" s="131">
        <v>0</v>
      </c>
      <c r="R43" s="131">
        <v>0</v>
      </c>
      <c r="S43" s="131">
        <v>0</v>
      </c>
      <c r="T43" s="131">
        <v>0</v>
      </c>
      <c r="U43" s="128">
        <v>0</v>
      </c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6"/>
    </row>
    <row r="44" spans="1:66" x14ac:dyDescent="0.25">
      <c r="A44" s="124" t="s">
        <v>88</v>
      </c>
      <c r="B44" s="125">
        <v>41967</v>
      </c>
      <c r="C44" s="125">
        <v>36178.448275862072</v>
      </c>
      <c r="D44" s="126" t="s">
        <v>142</v>
      </c>
      <c r="E44" s="127">
        <v>0.24</v>
      </c>
      <c r="F44" s="125">
        <v>10072.08</v>
      </c>
      <c r="G44" s="125">
        <v>200</v>
      </c>
      <c r="H44" s="125">
        <v>0</v>
      </c>
      <c r="I44" s="129"/>
      <c r="J44" s="130"/>
      <c r="K44" s="125">
        <v>10272.08</v>
      </c>
      <c r="L44" s="129"/>
      <c r="M44" s="125">
        <v>10272.08</v>
      </c>
      <c r="N44" s="131">
        <v>200</v>
      </c>
      <c r="O44" s="131">
        <v>0</v>
      </c>
      <c r="P44" s="131">
        <v>0</v>
      </c>
      <c r="Q44" s="131">
        <v>0</v>
      </c>
      <c r="R44" s="131">
        <v>0</v>
      </c>
      <c r="S44" s="131">
        <v>0</v>
      </c>
      <c r="T44" s="131">
        <v>0</v>
      </c>
      <c r="U44" s="128">
        <v>0</v>
      </c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  <c r="AR44" s="116"/>
      <c r="AS44" s="116"/>
      <c r="AT44" s="116"/>
      <c r="AU44" s="116"/>
      <c r="AV44" s="116"/>
      <c r="AW44" s="116"/>
      <c r="AX44" s="116"/>
      <c r="AY44" s="116"/>
      <c r="AZ44" s="116"/>
      <c r="BA44" s="116"/>
      <c r="BB44" s="116"/>
      <c r="BC44" s="116"/>
      <c r="BD44" s="116"/>
      <c r="BE44" s="116"/>
      <c r="BF44" s="116"/>
      <c r="BG44" s="116"/>
      <c r="BH44" s="116"/>
      <c r="BI44" s="116"/>
      <c r="BJ44" s="116"/>
      <c r="BK44" s="116"/>
      <c r="BL44" s="116"/>
      <c r="BM44" s="116"/>
      <c r="BN44" s="116"/>
    </row>
    <row r="45" spans="1:66" customFormat="1" x14ac:dyDescent="0.25">
      <c r="A45" s="124" t="s">
        <v>138</v>
      </c>
      <c r="B45" s="125">
        <v>0</v>
      </c>
      <c r="C45" s="125">
        <v>0</v>
      </c>
      <c r="D45" s="126" t="s">
        <v>142</v>
      </c>
      <c r="E45" s="127">
        <v>0.24</v>
      </c>
      <c r="F45" s="125">
        <v>0</v>
      </c>
      <c r="G45" s="125">
        <v>0</v>
      </c>
      <c r="H45" s="125">
        <v>0</v>
      </c>
      <c r="I45" s="129"/>
      <c r="J45" s="130"/>
      <c r="K45" s="125">
        <v>0</v>
      </c>
      <c r="L45" s="129"/>
      <c r="M45" s="125">
        <v>0</v>
      </c>
      <c r="N45" s="131">
        <v>0</v>
      </c>
      <c r="O45" s="131">
        <v>0</v>
      </c>
      <c r="P45" s="131">
        <v>0</v>
      </c>
      <c r="Q45" s="131">
        <v>0</v>
      </c>
      <c r="R45" s="131">
        <v>0</v>
      </c>
      <c r="S45" s="131">
        <v>0</v>
      </c>
      <c r="T45" s="131">
        <v>0</v>
      </c>
      <c r="U45" s="128">
        <v>0</v>
      </c>
      <c r="V45" s="132"/>
      <c r="W45" s="132"/>
      <c r="X45" s="132"/>
      <c r="Y45" s="132"/>
      <c r="Z45" s="132"/>
      <c r="AA45" s="132"/>
      <c r="AB45" s="132"/>
      <c r="AC45" s="132"/>
      <c r="AD45" s="132"/>
      <c r="AE45" s="132"/>
      <c r="AF45" s="132"/>
      <c r="AG45" s="132"/>
      <c r="AH45" s="132"/>
      <c r="AI45" s="132"/>
      <c r="AJ45" s="132"/>
      <c r="AK45" s="132"/>
      <c r="AL45" s="132"/>
      <c r="AM45" s="132"/>
      <c r="AN45" s="132"/>
      <c r="AO45" s="132"/>
      <c r="AP45" s="132"/>
      <c r="AQ45" s="132"/>
      <c r="AR45" s="132"/>
      <c r="AS45" s="132"/>
      <c r="AT45" s="132"/>
      <c r="AU45" s="132"/>
      <c r="AV45" s="132"/>
      <c r="AW45" s="132"/>
      <c r="AX45" s="132"/>
      <c r="AY45" s="132"/>
      <c r="AZ45" s="132"/>
      <c r="BA45" s="132"/>
      <c r="BB45" s="132"/>
      <c r="BC45" s="132"/>
      <c r="BD45" s="132"/>
      <c r="BE45" s="132"/>
      <c r="BF45" s="132"/>
      <c r="BG45" s="132"/>
      <c r="BH45" s="132"/>
      <c r="BI45" s="132"/>
      <c r="BJ45" s="132"/>
      <c r="BK45" s="132"/>
      <c r="BL45" s="132"/>
      <c r="BM45" s="132"/>
      <c r="BN45" s="132"/>
    </row>
    <row r="46" spans="1:66" x14ac:dyDescent="0.25">
      <c r="A46" s="124" t="s">
        <v>43</v>
      </c>
      <c r="B46" s="125">
        <v>99450</v>
      </c>
      <c r="C46" s="125">
        <v>85732.758620689667</v>
      </c>
      <c r="D46" s="126" t="s">
        <v>151</v>
      </c>
      <c r="E46" s="127">
        <v>0.32</v>
      </c>
      <c r="F46" s="125">
        <v>31824</v>
      </c>
      <c r="G46" s="125">
        <v>3600</v>
      </c>
      <c r="H46" s="125">
        <v>0</v>
      </c>
      <c r="I46" s="129"/>
      <c r="J46" s="130"/>
      <c r="K46" s="125">
        <v>35424</v>
      </c>
      <c r="L46" s="129"/>
      <c r="M46" s="125">
        <v>35424</v>
      </c>
      <c r="N46" s="131">
        <v>3600</v>
      </c>
      <c r="O46" s="131">
        <v>0</v>
      </c>
      <c r="P46" s="131">
        <v>0</v>
      </c>
      <c r="Q46" s="131">
        <v>0</v>
      </c>
      <c r="R46" s="131">
        <v>0</v>
      </c>
      <c r="S46" s="131">
        <v>0</v>
      </c>
      <c r="T46" s="131">
        <v>0</v>
      </c>
      <c r="U46" s="128">
        <v>0</v>
      </c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6"/>
      <c r="AR46" s="116"/>
      <c r="AS46" s="116"/>
      <c r="AT46" s="116"/>
      <c r="AU46" s="116"/>
      <c r="AV46" s="116"/>
      <c r="AW46" s="116"/>
      <c r="AX46" s="116"/>
      <c r="AY46" s="116"/>
      <c r="AZ46" s="116"/>
      <c r="BA46" s="116"/>
      <c r="BB46" s="116"/>
      <c r="BC46" s="116"/>
      <c r="BD46" s="116"/>
      <c r="BE46" s="116"/>
      <c r="BF46" s="116"/>
      <c r="BG46" s="116"/>
      <c r="BH46" s="116"/>
      <c r="BI46" s="116"/>
      <c r="BJ46" s="116"/>
      <c r="BK46" s="116"/>
      <c r="BL46" s="116"/>
      <c r="BM46" s="116"/>
      <c r="BN46" s="116"/>
    </row>
    <row r="47" spans="1:66" customFormat="1" x14ac:dyDescent="0.25">
      <c r="A47" s="124" t="s">
        <v>139</v>
      </c>
      <c r="B47" s="125">
        <v>100889</v>
      </c>
      <c r="C47" s="125">
        <v>86973.275862068971</v>
      </c>
      <c r="D47" s="126">
        <v>0</v>
      </c>
      <c r="E47" s="127">
        <v>0.05</v>
      </c>
      <c r="F47" s="125">
        <v>5044.4500000000007</v>
      </c>
      <c r="G47" s="125">
        <v>2750</v>
      </c>
      <c r="H47" s="125">
        <v>0</v>
      </c>
      <c r="I47" s="129"/>
      <c r="J47" s="130"/>
      <c r="K47" s="125">
        <v>7794.4500000000007</v>
      </c>
      <c r="L47" s="129"/>
      <c r="M47" s="125">
        <v>7794.4500000000007</v>
      </c>
      <c r="N47" s="131">
        <v>2750</v>
      </c>
      <c r="O47" s="131">
        <v>0</v>
      </c>
      <c r="P47" s="131">
        <v>0</v>
      </c>
      <c r="Q47" s="131">
        <v>0</v>
      </c>
      <c r="R47" s="131">
        <v>0</v>
      </c>
      <c r="S47" s="131">
        <v>0</v>
      </c>
      <c r="T47" s="131">
        <v>0</v>
      </c>
      <c r="U47" s="128">
        <v>0</v>
      </c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  <c r="AK47" s="132"/>
      <c r="AL47" s="132"/>
      <c r="AM47" s="132"/>
      <c r="AN47" s="132"/>
      <c r="AO47" s="132"/>
      <c r="AP47" s="132"/>
      <c r="AQ47" s="132"/>
      <c r="AR47" s="132"/>
      <c r="AS47" s="132"/>
      <c r="AT47" s="132"/>
      <c r="AU47" s="132"/>
      <c r="AV47" s="132"/>
      <c r="AW47" s="132"/>
      <c r="AX47" s="132"/>
      <c r="AY47" s="132"/>
      <c r="AZ47" s="132"/>
      <c r="BA47" s="132"/>
      <c r="BB47" s="132"/>
      <c r="BC47" s="132"/>
      <c r="BD47" s="132"/>
      <c r="BE47" s="132"/>
      <c r="BF47" s="132"/>
      <c r="BG47" s="132"/>
      <c r="BH47" s="132"/>
      <c r="BI47" s="132"/>
      <c r="BJ47" s="132"/>
      <c r="BK47" s="132"/>
      <c r="BL47" s="132"/>
      <c r="BM47" s="132"/>
      <c r="BN47" s="132"/>
    </row>
    <row r="48" spans="1:66" customFormat="1" x14ac:dyDescent="0.25">
      <c r="A48" s="124" t="s">
        <v>47</v>
      </c>
      <c r="B48" s="125">
        <v>55450</v>
      </c>
      <c r="C48" s="125">
        <v>47801.724137931036</v>
      </c>
      <c r="D48" s="126" t="s">
        <v>146</v>
      </c>
      <c r="E48" s="127">
        <v>0.32</v>
      </c>
      <c r="F48" s="125">
        <v>17744</v>
      </c>
      <c r="G48" s="125">
        <v>5300</v>
      </c>
      <c r="H48" s="125">
        <v>0</v>
      </c>
      <c r="I48" s="129"/>
      <c r="J48" s="130"/>
      <c r="K48" s="125">
        <v>23044</v>
      </c>
      <c r="L48" s="129"/>
      <c r="M48" s="125">
        <v>23044</v>
      </c>
      <c r="N48" s="131">
        <v>5300</v>
      </c>
      <c r="O48" s="131">
        <v>0</v>
      </c>
      <c r="P48" s="131">
        <v>0</v>
      </c>
      <c r="Q48" s="131">
        <v>0</v>
      </c>
      <c r="R48" s="131">
        <v>0</v>
      </c>
      <c r="S48" s="131">
        <v>0</v>
      </c>
      <c r="T48" s="131">
        <v>0</v>
      </c>
      <c r="U48" s="128">
        <v>0</v>
      </c>
      <c r="V48" s="132"/>
      <c r="W48" s="132"/>
      <c r="X48" s="132"/>
      <c r="Y48" s="132"/>
      <c r="Z48" s="132"/>
      <c r="AA48" s="132"/>
      <c r="AB48" s="132"/>
      <c r="AC48" s="132"/>
      <c r="AD48" s="132"/>
      <c r="AE48" s="132"/>
      <c r="AF48" s="132"/>
      <c r="AG48" s="132"/>
      <c r="AH48" s="132"/>
      <c r="AI48" s="132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  <c r="AW48" s="132"/>
      <c r="AX48" s="132"/>
      <c r="AY48" s="132"/>
      <c r="AZ48" s="132"/>
      <c r="BA48" s="132"/>
      <c r="BB48" s="132"/>
      <c r="BC48" s="132"/>
      <c r="BD48" s="132"/>
      <c r="BE48" s="132"/>
      <c r="BF48" s="132"/>
      <c r="BG48" s="132"/>
      <c r="BH48" s="132"/>
      <c r="BI48" s="132"/>
      <c r="BJ48" s="132"/>
      <c r="BK48" s="132"/>
      <c r="BL48" s="132"/>
      <c r="BM48" s="132"/>
      <c r="BN48" s="132"/>
    </row>
    <row r="49" spans="1:66" customFormat="1" x14ac:dyDescent="0.25">
      <c r="A49" s="124" t="s">
        <v>140</v>
      </c>
      <c r="B49" s="125">
        <v>31392</v>
      </c>
      <c r="C49" s="125">
        <v>27062.068965517243</v>
      </c>
      <c r="D49" s="126" t="s">
        <v>152</v>
      </c>
      <c r="E49" s="127">
        <v>0.24</v>
      </c>
      <c r="F49" s="125">
        <v>7534.08</v>
      </c>
      <c r="G49" s="125">
        <v>500</v>
      </c>
      <c r="H49" s="125">
        <v>0</v>
      </c>
      <c r="I49" s="129"/>
      <c r="J49" s="130"/>
      <c r="K49" s="125">
        <v>8034.08</v>
      </c>
      <c r="L49" s="129"/>
      <c r="M49" s="125">
        <v>8034.08</v>
      </c>
      <c r="N49" s="131">
        <v>500</v>
      </c>
      <c r="O49" s="131">
        <v>0</v>
      </c>
      <c r="P49" s="131">
        <v>0</v>
      </c>
      <c r="Q49" s="131">
        <v>0</v>
      </c>
      <c r="R49" s="131">
        <v>0</v>
      </c>
      <c r="S49" s="131">
        <v>0</v>
      </c>
      <c r="T49" s="131">
        <v>0</v>
      </c>
      <c r="U49" s="128">
        <v>0</v>
      </c>
      <c r="V49" s="132"/>
      <c r="W49" s="132"/>
      <c r="X49" s="132"/>
      <c r="Y49" s="132"/>
      <c r="Z49" s="132"/>
      <c r="AA49" s="132"/>
      <c r="AB49" s="132"/>
      <c r="AC49" s="132"/>
      <c r="AD49" s="132"/>
      <c r="AE49" s="132"/>
      <c r="AF49" s="132"/>
      <c r="AG49" s="132"/>
      <c r="AH49" s="132"/>
      <c r="AI49" s="132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2"/>
      <c r="AX49" s="132"/>
      <c r="AY49" s="132"/>
      <c r="AZ49" s="132"/>
      <c r="BA49" s="132"/>
      <c r="BB49" s="132"/>
      <c r="BC49" s="132"/>
      <c r="BD49" s="132"/>
      <c r="BE49" s="132"/>
      <c r="BF49" s="132"/>
      <c r="BG49" s="132"/>
      <c r="BH49" s="132"/>
      <c r="BI49" s="132"/>
      <c r="BJ49" s="132"/>
      <c r="BK49" s="132"/>
      <c r="BL49" s="132"/>
      <c r="BM49" s="132"/>
      <c r="BN49" s="132"/>
    </row>
    <row r="50" spans="1:66" customFormat="1" x14ac:dyDescent="0.25">
      <c r="A50" s="124" t="s">
        <v>87</v>
      </c>
      <c r="B50" s="125">
        <v>8330</v>
      </c>
      <c r="C50" s="125">
        <v>7181.0344827586214</v>
      </c>
      <c r="D50" s="126" t="s">
        <v>142</v>
      </c>
      <c r="E50" s="127">
        <v>0.24</v>
      </c>
      <c r="F50" s="125">
        <v>1999.1999999999998</v>
      </c>
      <c r="G50" s="125">
        <v>1850</v>
      </c>
      <c r="H50" s="125">
        <v>0</v>
      </c>
      <c r="I50" s="129"/>
      <c r="J50" s="130"/>
      <c r="K50" s="125">
        <v>3849.2</v>
      </c>
      <c r="L50" s="129"/>
      <c r="M50" s="125">
        <v>3849.2</v>
      </c>
      <c r="N50" s="131">
        <v>1850</v>
      </c>
      <c r="O50" s="131">
        <v>0</v>
      </c>
      <c r="P50" s="131">
        <v>0</v>
      </c>
      <c r="Q50" s="131">
        <v>0</v>
      </c>
      <c r="R50" s="131">
        <v>0</v>
      </c>
      <c r="S50" s="131">
        <v>0</v>
      </c>
      <c r="T50" s="131">
        <v>0</v>
      </c>
      <c r="U50" s="128">
        <v>0</v>
      </c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2"/>
      <c r="AX50" s="132"/>
      <c r="AY50" s="132"/>
      <c r="AZ50" s="132"/>
      <c r="BA50" s="132"/>
      <c r="BB50" s="132"/>
      <c r="BC50" s="132"/>
      <c r="BD50" s="132"/>
      <c r="BE50" s="132"/>
      <c r="BF50" s="132"/>
      <c r="BG50" s="132"/>
      <c r="BH50" s="132"/>
      <c r="BI50" s="132"/>
      <c r="BJ50" s="132"/>
      <c r="BK50" s="132"/>
      <c r="BL50" s="132"/>
      <c r="BM50" s="132"/>
      <c r="BN50" s="132"/>
    </row>
    <row r="51" spans="1:66" customFormat="1" x14ac:dyDescent="0.25">
      <c r="A51" s="133" t="s">
        <v>141</v>
      </c>
      <c r="B51" s="125">
        <v>0</v>
      </c>
      <c r="C51" s="125">
        <v>0</v>
      </c>
      <c r="D51" s="126" t="s">
        <v>153</v>
      </c>
      <c r="E51" s="127">
        <v>0</v>
      </c>
      <c r="F51" s="125">
        <v>0</v>
      </c>
      <c r="G51" s="125">
        <v>1635</v>
      </c>
      <c r="H51" s="125">
        <v>0</v>
      </c>
      <c r="I51" s="129"/>
      <c r="J51" s="130"/>
      <c r="K51" s="125">
        <v>1635</v>
      </c>
      <c r="L51" s="129"/>
      <c r="M51" s="125">
        <v>1635</v>
      </c>
      <c r="N51" s="131">
        <v>1635</v>
      </c>
      <c r="O51" s="131">
        <v>0</v>
      </c>
      <c r="P51" s="131">
        <v>0</v>
      </c>
      <c r="Q51" s="131">
        <v>0</v>
      </c>
      <c r="R51" s="131">
        <v>0</v>
      </c>
      <c r="S51" s="131">
        <v>0</v>
      </c>
      <c r="T51" s="131">
        <v>0</v>
      </c>
      <c r="U51" s="128">
        <v>0</v>
      </c>
      <c r="V51" s="132"/>
      <c r="W51" s="132"/>
      <c r="X51" s="132"/>
      <c r="Y51" s="132"/>
      <c r="Z51" s="132"/>
      <c r="AA51" s="132"/>
      <c r="AB51" s="132"/>
      <c r="AC51" s="132"/>
      <c r="AD51" s="132"/>
      <c r="AE51" s="132"/>
      <c r="AF51" s="132"/>
      <c r="AG51" s="132"/>
      <c r="AH51" s="132"/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  <c r="AW51" s="132"/>
      <c r="AX51" s="132"/>
      <c r="AY51" s="132"/>
      <c r="AZ51" s="132"/>
      <c r="BA51" s="132"/>
      <c r="BB51" s="132"/>
      <c r="BC51" s="132"/>
      <c r="BD51" s="132"/>
      <c r="BE51" s="132"/>
      <c r="BF51" s="132"/>
      <c r="BG51" s="132"/>
      <c r="BH51" s="132"/>
      <c r="BI51" s="132"/>
      <c r="BJ51" s="132"/>
      <c r="BK51" s="132"/>
      <c r="BL51" s="132"/>
      <c r="BM51" s="132"/>
      <c r="BN51" s="132"/>
    </row>
  </sheetData>
  <mergeCells count="6">
    <mergeCell ref="B4:C7"/>
    <mergeCell ref="A1:A4"/>
    <mergeCell ref="I5:J5"/>
    <mergeCell ref="I2:J2"/>
    <mergeCell ref="I7:J7"/>
    <mergeCell ref="Q1:R4"/>
  </mergeCells>
  <conditionalFormatting sqref="A51">
    <cfRule type="duplicateValues" dxfId="9" priority="1"/>
  </conditionalFormatting>
  <pageMargins left="0.19685039370078741" right="0.11811023622047245" top="0.74803149606299213" bottom="0.74803149606299213" header="0.31496062992125984" footer="0.31496062992125984"/>
  <pageSetup scale="46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29A18-74DE-4142-87EE-0688352B0979}">
  <dimension ref="A1:AE42"/>
  <sheetViews>
    <sheetView workbookViewId="0">
      <selection activeCell="I19" sqref="I19"/>
    </sheetView>
  </sheetViews>
  <sheetFormatPr baseColWidth="10" defaultRowHeight="15" x14ac:dyDescent="0.25"/>
  <cols>
    <col min="1" max="2" width="37.85546875" bestFit="1" customWidth="1"/>
    <col min="3" max="3" width="14.140625" bestFit="1" customWidth="1"/>
    <col min="4" max="8" width="12.5703125" bestFit="1" customWidth="1"/>
    <col min="9" max="9" width="7.140625" bestFit="1" customWidth="1"/>
    <col min="10" max="10" width="12.5703125" bestFit="1" customWidth="1"/>
    <col min="11" max="11" width="11.5703125" bestFit="1" customWidth="1"/>
    <col min="12" max="12" width="9" bestFit="1" customWidth="1"/>
    <col min="13" max="13" width="7.140625" bestFit="1" customWidth="1"/>
    <col min="14" max="14" width="9.42578125" bestFit="1" customWidth="1"/>
    <col min="15" max="15" width="11.5703125" bestFit="1" customWidth="1"/>
    <col min="16" max="16" width="10.5703125" bestFit="1" customWidth="1"/>
    <col min="17" max="17" width="9.140625" bestFit="1" customWidth="1"/>
    <col min="18" max="19" width="12.5703125" bestFit="1" customWidth="1"/>
    <col min="20" max="21" width="11.5703125" bestFit="1" customWidth="1"/>
    <col min="22" max="22" width="12.5703125" bestFit="1" customWidth="1"/>
    <col min="23" max="23" width="11.5703125" bestFit="1" customWidth="1"/>
    <col min="24" max="24" width="12.5703125" bestFit="1" customWidth="1"/>
    <col min="25" max="25" width="11.5703125" bestFit="1" customWidth="1"/>
    <col min="26" max="27" width="10.5703125" bestFit="1" customWidth="1"/>
    <col min="28" max="29" width="11.5703125" bestFit="1" customWidth="1"/>
    <col min="30" max="30" width="9.28515625" bestFit="1" customWidth="1"/>
    <col min="31" max="31" width="11.5703125" bestFit="1" customWidth="1"/>
  </cols>
  <sheetData>
    <row r="1" spans="1:31" x14ac:dyDescent="0.25">
      <c r="A1" s="162"/>
      <c r="B1" s="162" t="s">
        <v>19</v>
      </c>
      <c r="C1" s="163">
        <v>45809</v>
      </c>
      <c r="D1" s="162"/>
      <c r="E1" s="164"/>
      <c r="F1" s="163">
        <v>45823</v>
      </c>
      <c r="G1" s="162" t="s">
        <v>114</v>
      </c>
      <c r="H1" s="165">
        <v>45830</v>
      </c>
      <c r="I1" s="166"/>
      <c r="J1" s="164"/>
      <c r="K1" s="164"/>
      <c r="L1" s="166"/>
      <c r="M1" s="164"/>
      <c r="N1" s="166"/>
      <c r="O1" s="167"/>
      <c r="P1" s="166"/>
      <c r="Q1" s="168"/>
      <c r="R1" s="168"/>
      <c r="S1" s="169" t="s">
        <v>200</v>
      </c>
      <c r="T1" s="170"/>
      <c r="U1" s="170"/>
      <c r="V1" s="170"/>
      <c r="W1" s="170"/>
      <c r="X1" s="164"/>
      <c r="Y1" s="171" t="s">
        <v>201</v>
      </c>
      <c r="Z1" s="203"/>
      <c r="AA1" s="203"/>
      <c r="AB1" s="203"/>
      <c r="AC1" s="203"/>
      <c r="AD1" s="203"/>
      <c r="AE1" s="203"/>
    </row>
    <row r="2" spans="1:31" x14ac:dyDescent="0.25">
      <c r="A2" s="172"/>
      <c r="B2" s="172"/>
      <c r="C2" s="173">
        <f>+SUBTOTAL(9,[1]!LOCATIONS[Total])</f>
        <v>1138174</v>
      </c>
      <c r="D2" s="173">
        <f>+SUBTOTAL(9,[1]!LOCATIONS[MITIKAH])</f>
        <v>319441</v>
      </c>
      <c r="E2" s="173">
        <f>+SUBTOTAL(9,[1]!LOCATIONS[MIYANA])</f>
        <v>107433</v>
      </c>
      <c r="F2" s="173">
        <f>+SUBTOTAL(9,[1]!LOCATIONS[CARRETA DELTA])</f>
        <v>101560</v>
      </c>
      <c r="G2" s="173">
        <f>+SUBTOTAL(9,[1]!LOCATIONS[OPATRA])</f>
        <v>488340</v>
      </c>
      <c r="H2" s="173">
        <f>+SUBTOTAL(9,[1]!LOCATIONS[CARRETA INSURGENTES])</f>
        <v>121400</v>
      </c>
      <c r="I2" s="174">
        <f>+R2/C2</f>
        <v>0.32922358092875087</v>
      </c>
      <c r="J2" s="173">
        <f>+SUBTOTAL(9,[1]!LOCATIONS[SUBTOTAL])</f>
        <v>301622.93</v>
      </c>
      <c r="K2" s="173">
        <f>+SUBTOTAL(9,[1]!LOCATIONS[Bono])</f>
        <v>80894.239999999991</v>
      </c>
      <c r="L2" s="173">
        <f>+SUBTOTAL(9,[1]!LOCATIONS[Multa])</f>
        <v>600</v>
      </c>
      <c r="M2" s="173">
        <f>+SUBTOTAL(9,[1]!LOCATIONS[Sueldo base])</f>
        <v>0</v>
      </c>
      <c r="N2" s="173">
        <f>+SUBTOTAL(9,[1]!LOCATIONS[Prestamo])</f>
        <v>0</v>
      </c>
      <c r="O2" s="175">
        <f>+SUBTOTAL(9,[1]!LOCATIONS[Pago Prestamo])</f>
        <v>13200</v>
      </c>
      <c r="P2" s="173">
        <f>+SUBTOTAL(9,[1]!LOCATIONS[Ajuste Nomina +])</f>
        <v>5996.55</v>
      </c>
      <c r="Q2" s="173">
        <f>+SUBTOTAL(9,[1]!LOCATIONS[Adelanto  Nomina -])</f>
        <v>0</v>
      </c>
      <c r="R2" s="173">
        <f>+SUBTOTAL(9,[1]!LOCATIONS[SUBTOTAL.])</f>
        <v>374713.72000000009</v>
      </c>
      <c r="S2" s="173">
        <f>+SUBTOTAL(9,[1]!LOCATIONS[COSTO MITIKAH])</f>
        <v>104649.05</v>
      </c>
      <c r="T2" s="173">
        <f>+SUBTOTAL(9,[1]!LOCATIONS[COSTO INTERLOMAS])</f>
        <v>29700.61</v>
      </c>
      <c r="U2" s="173">
        <f>+SUBTOTAL(9,[1]!LOCATIONS[COSTO CARRETA DELTA])</f>
        <v>29059.9</v>
      </c>
      <c r="V2" s="173">
        <f>+SUBTOTAL(9,[1]!LOCATIONS[COSTO OPATRA])</f>
        <v>175348.61000000002</v>
      </c>
      <c r="W2" s="173">
        <f>+SUBTOTAL(9,[1]!LOCATIONS[COSTO CARRETA INSURGENTES])</f>
        <v>44076.42</v>
      </c>
      <c r="X2" s="173">
        <f>+SUBTOTAL(9,[1]!LOCATIONS[SUMA])</f>
        <v>382834.59</v>
      </c>
      <c r="Y2" s="176">
        <f>SUM([1]!Tabla21[BONOS MITIKAH])</f>
        <v>20992</v>
      </c>
      <c r="Z2" s="176">
        <f>SUM([1]!Tabla21[BONOS MIYANA])</f>
        <v>3100</v>
      </c>
      <c r="AA2" s="176">
        <f>SUM([1]!Tabla21[BONOS CARRETA DELTA])</f>
        <v>1500</v>
      </c>
      <c r="AB2" s="176">
        <f>SUM([1]!Tabla21[BONOS OPATRA])</f>
        <v>43302.239999999998</v>
      </c>
      <c r="AC2" s="176">
        <f>SUM([1]!Tabla21[BONOS CARRETA INSURGENTES])</f>
        <v>12000</v>
      </c>
      <c r="AD2" s="176">
        <f>SUM([1]!Tabla21[VIATICOS])</f>
        <v>0</v>
      </c>
      <c r="AE2" s="176">
        <f>SUM([1]!Tabla21[SUMA])</f>
        <v>80894.239999999991</v>
      </c>
    </row>
    <row r="3" spans="1:31" ht="60" x14ac:dyDescent="0.25">
      <c r="A3" s="177" t="s">
        <v>221</v>
      </c>
      <c r="B3" s="177" t="s">
        <v>202</v>
      </c>
      <c r="C3" s="178" t="s">
        <v>203</v>
      </c>
      <c r="D3" s="179" t="s">
        <v>84</v>
      </c>
      <c r="E3" s="179" t="s">
        <v>94</v>
      </c>
      <c r="F3" s="180" t="s">
        <v>204</v>
      </c>
      <c r="G3" s="181" t="s">
        <v>86</v>
      </c>
      <c r="H3" s="179" t="s">
        <v>205</v>
      </c>
      <c r="I3" s="182" t="s">
        <v>206</v>
      </c>
      <c r="J3" s="179" t="s">
        <v>207</v>
      </c>
      <c r="K3" s="183" t="s">
        <v>126</v>
      </c>
      <c r="L3" s="179" t="s">
        <v>127</v>
      </c>
      <c r="M3" s="179" t="s">
        <v>65</v>
      </c>
      <c r="N3" s="179" t="s">
        <v>66</v>
      </c>
      <c r="O3" s="184" t="s">
        <v>67</v>
      </c>
      <c r="P3" s="179" t="s">
        <v>128</v>
      </c>
      <c r="Q3" s="179" t="s">
        <v>208</v>
      </c>
      <c r="R3" s="179" t="s">
        <v>209</v>
      </c>
      <c r="S3" s="179" t="s">
        <v>210</v>
      </c>
      <c r="T3" s="179" t="s">
        <v>211</v>
      </c>
      <c r="U3" s="179" t="s">
        <v>212</v>
      </c>
      <c r="V3" s="179" t="s">
        <v>213</v>
      </c>
      <c r="W3" s="179" t="s">
        <v>214</v>
      </c>
      <c r="X3" s="179" t="s">
        <v>215</v>
      </c>
      <c r="Y3" s="185" t="s">
        <v>216</v>
      </c>
      <c r="Z3" s="186" t="s">
        <v>217</v>
      </c>
      <c r="AA3" s="186" t="s">
        <v>218</v>
      </c>
      <c r="AB3" s="186" t="s">
        <v>219</v>
      </c>
      <c r="AC3" s="186" t="s">
        <v>220</v>
      </c>
      <c r="AD3" s="186" t="s">
        <v>12</v>
      </c>
      <c r="AE3" s="186" t="s">
        <v>215</v>
      </c>
    </row>
    <row r="4" spans="1:31" x14ac:dyDescent="0.25">
      <c r="A4" s="187" t="s">
        <v>222</v>
      </c>
      <c r="B4" s="187" t="s">
        <v>56</v>
      </c>
      <c r="C4" s="188">
        <v>84720</v>
      </c>
      <c r="D4" s="189">
        <v>40500</v>
      </c>
      <c r="E4" s="189">
        <v>25550</v>
      </c>
      <c r="F4" s="189">
        <v>12500</v>
      </c>
      <c r="G4" s="189">
        <v>6170</v>
      </c>
      <c r="H4" s="189">
        <v>0</v>
      </c>
      <c r="I4" s="190">
        <v>0.28000000000000003</v>
      </c>
      <c r="J4" s="191">
        <v>23721.600000000002</v>
      </c>
      <c r="K4" s="131">
        <v>1250</v>
      </c>
      <c r="L4" s="131">
        <v>300</v>
      </c>
      <c r="M4" s="131"/>
      <c r="N4" s="131"/>
      <c r="O4" s="131">
        <v>4000</v>
      </c>
      <c r="P4" s="131">
        <v>0</v>
      </c>
      <c r="Q4" s="131"/>
      <c r="R4" s="192">
        <v>20671.600000000002</v>
      </c>
      <c r="S4" s="189">
        <v>11340.000000000002</v>
      </c>
      <c r="T4" s="189">
        <v>7154.0000000000009</v>
      </c>
      <c r="U4" s="189">
        <v>3600.0000000000005</v>
      </c>
      <c r="V4" s="189">
        <v>2877.6000000000004</v>
      </c>
      <c r="W4" s="189">
        <v>0</v>
      </c>
      <c r="X4" s="193">
        <v>24971.600000000006</v>
      </c>
      <c r="Y4" s="194">
        <v>0</v>
      </c>
      <c r="Z4" s="194">
        <v>0</v>
      </c>
      <c r="AA4" s="194">
        <v>100</v>
      </c>
      <c r="AB4" s="194">
        <v>1150</v>
      </c>
      <c r="AC4" s="194">
        <v>0</v>
      </c>
      <c r="AD4" s="194">
        <v>0</v>
      </c>
      <c r="AE4" s="195">
        <v>1250</v>
      </c>
    </row>
    <row r="5" spans="1:31" x14ac:dyDescent="0.25">
      <c r="A5" s="187"/>
      <c r="B5" s="187" t="s">
        <v>57</v>
      </c>
      <c r="C5" s="188">
        <v>0</v>
      </c>
      <c r="D5" s="189">
        <v>0</v>
      </c>
      <c r="E5" s="189">
        <v>0</v>
      </c>
      <c r="F5" s="189">
        <v>0</v>
      </c>
      <c r="G5" s="189">
        <v>0</v>
      </c>
      <c r="H5" s="189">
        <v>0</v>
      </c>
      <c r="I5" s="190">
        <v>0</v>
      </c>
      <c r="J5" s="191">
        <v>0</v>
      </c>
      <c r="K5" s="189">
        <v>1050</v>
      </c>
      <c r="L5" s="131">
        <v>0</v>
      </c>
      <c r="M5" s="189"/>
      <c r="N5" s="189"/>
      <c r="O5" s="189"/>
      <c r="P5" s="189">
        <v>0</v>
      </c>
      <c r="Q5" s="131"/>
      <c r="R5" s="192">
        <v>1050</v>
      </c>
      <c r="S5" s="189">
        <v>0</v>
      </c>
      <c r="T5" s="189">
        <v>0</v>
      </c>
      <c r="U5" s="189">
        <v>0</v>
      </c>
      <c r="V5" s="189">
        <v>0</v>
      </c>
      <c r="W5" s="189">
        <v>1050</v>
      </c>
      <c r="X5" s="193">
        <v>1050</v>
      </c>
      <c r="Y5" s="194">
        <v>0</v>
      </c>
      <c r="Z5" s="196">
        <v>0</v>
      </c>
      <c r="AA5" s="196">
        <v>0</v>
      </c>
      <c r="AB5" s="196">
        <v>0</v>
      </c>
      <c r="AC5" s="196">
        <v>1050</v>
      </c>
      <c r="AD5" s="197">
        <v>0</v>
      </c>
      <c r="AE5" s="197">
        <v>1050</v>
      </c>
    </row>
    <row r="6" spans="1:31" x14ac:dyDescent="0.25">
      <c r="A6" s="187"/>
      <c r="B6" s="187" t="s">
        <v>58</v>
      </c>
      <c r="C6" s="188">
        <v>0</v>
      </c>
      <c r="D6" s="189">
        <v>0</v>
      </c>
      <c r="E6" s="189">
        <v>0</v>
      </c>
      <c r="F6" s="189">
        <v>0</v>
      </c>
      <c r="G6" s="189">
        <v>0</v>
      </c>
      <c r="H6" s="189">
        <v>0</v>
      </c>
      <c r="I6" s="190">
        <v>0</v>
      </c>
      <c r="J6" s="191">
        <v>0</v>
      </c>
      <c r="K6" s="131">
        <v>2364</v>
      </c>
      <c r="L6" s="131">
        <v>0</v>
      </c>
      <c r="M6" s="131"/>
      <c r="N6" s="131"/>
      <c r="O6" s="189"/>
      <c r="P6" s="131">
        <v>0</v>
      </c>
      <c r="Q6" s="131"/>
      <c r="R6" s="192">
        <v>2364</v>
      </c>
      <c r="S6" s="189">
        <v>2364</v>
      </c>
      <c r="T6" s="189">
        <v>0</v>
      </c>
      <c r="U6" s="189">
        <v>0</v>
      </c>
      <c r="V6" s="189">
        <v>0</v>
      </c>
      <c r="W6" s="189">
        <v>0</v>
      </c>
      <c r="X6" s="193">
        <v>2364</v>
      </c>
      <c r="Y6" s="194">
        <v>2364</v>
      </c>
      <c r="Z6" s="198">
        <v>0</v>
      </c>
      <c r="AA6" s="198">
        <v>0</v>
      </c>
      <c r="AB6" s="198">
        <v>0</v>
      </c>
      <c r="AC6" s="198">
        <v>0</v>
      </c>
      <c r="AD6" s="195">
        <v>0</v>
      </c>
      <c r="AE6" s="195">
        <v>2364</v>
      </c>
    </row>
    <row r="7" spans="1:31" x14ac:dyDescent="0.25">
      <c r="A7" s="187"/>
      <c r="B7" s="187" t="s">
        <v>59</v>
      </c>
      <c r="C7" s="188">
        <v>10700</v>
      </c>
      <c r="D7" s="189">
        <v>0</v>
      </c>
      <c r="E7" s="189">
        <v>0</v>
      </c>
      <c r="F7" s="189">
        <v>0</v>
      </c>
      <c r="G7" s="189">
        <v>10700</v>
      </c>
      <c r="H7" s="189">
        <v>0</v>
      </c>
      <c r="I7" s="190">
        <v>0.26</v>
      </c>
      <c r="J7" s="191">
        <v>2782</v>
      </c>
      <c r="K7" s="131">
        <v>100</v>
      </c>
      <c r="L7" s="131">
        <v>0</v>
      </c>
      <c r="M7" s="131"/>
      <c r="N7" s="131"/>
      <c r="O7" s="131">
        <v>1500</v>
      </c>
      <c r="P7" s="131">
        <v>0</v>
      </c>
      <c r="Q7" s="131"/>
      <c r="R7" s="192">
        <v>1382</v>
      </c>
      <c r="S7" s="189">
        <v>100</v>
      </c>
      <c r="T7" s="189">
        <v>0</v>
      </c>
      <c r="U7" s="189">
        <v>0</v>
      </c>
      <c r="V7" s="189">
        <v>2782</v>
      </c>
      <c r="W7" s="189">
        <v>0</v>
      </c>
      <c r="X7" s="193">
        <v>2882</v>
      </c>
      <c r="Y7" s="194">
        <v>100</v>
      </c>
      <c r="Z7" s="196">
        <v>0</v>
      </c>
      <c r="AA7" s="196">
        <v>0</v>
      </c>
      <c r="AB7" s="196">
        <v>0</v>
      </c>
      <c r="AC7" s="196">
        <v>0</v>
      </c>
      <c r="AD7" s="197">
        <v>0</v>
      </c>
      <c r="AE7" s="197">
        <v>100</v>
      </c>
    </row>
    <row r="8" spans="1:31" x14ac:dyDescent="0.25">
      <c r="A8" s="187"/>
      <c r="B8" s="187" t="s">
        <v>60</v>
      </c>
      <c r="C8" s="188">
        <v>12350</v>
      </c>
      <c r="D8" s="189">
        <v>0</v>
      </c>
      <c r="E8" s="189">
        <v>0</v>
      </c>
      <c r="F8" s="189">
        <v>0</v>
      </c>
      <c r="G8" s="189">
        <v>10900</v>
      </c>
      <c r="H8" s="189">
        <v>1450</v>
      </c>
      <c r="I8" s="190">
        <v>0.3</v>
      </c>
      <c r="J8" s="191">
        <v>3705</v>
      </c>
      <c r="K8" s="131">
        <v>3750</v>
      </c>
      <c r="L8" s="131">
        <v>0</v>
      </c>
      <c r="M8" s="131"/>
      <c r="N8" s="131"/>
      <c r="O8" s="131">
        <v>5000</v>
      </c>
      <c r="P8" s="131">
        <v>490</v>
      </c>
      <c r="Q8" s="131"/>
      <c r="R8" s="192">
        <v>2945</v>
      </c>
      <c r="S8" s="189">
        <v>0</v>
      </c>
      <c r="T8" s="189">
        <v>0</v>
      </c>
      <c r="U8" s="189">
        <v>0</v>
      </c>
      <c r="V8" s="189">
        <v>4770</v>
      </c>
      <c r="W8" s="189">
        <v>2685</v>
      </c>
      <c r="X8" s="193">
        <v>7455</v>
      </c>
      <c r="Y8" s="194">
        <v>0</v>
      </c>
      <c r="Z8" s="198">
        <v>0</v>
      </c>
      <c r="AA8" s="198">
        <v>0</v>
      </c>
      <c r="AB8" s="198">
        <v>1500</v>
      </c>
      <c r="AC8" s="198">
        <v>2250</v>
      </c>
      <c r="AD8" s="195">
        <v>0</v>
      </c>
      <c r="AE8" s="195">
        <v>3750</v>
      </c>
    </row>
    <row r="9" spans="1:31" x14ac:dyDescent="0.25">
      <c r="A9" s="187"/>
      <c r="B9" s="187" t="s">
        <v>61</v>
      </c>
      <c r="C9" s="188">
        <v>0</v>
      </c>
      <c r="D9" s="189">
        <v>0</v>
      </c>
      <c r="E9" s="189">
        <v>0</v>
      </c>
      <c r="F9" s="189">
        <v>0</v>
      </c>
      <c r="G9" s="189">
        <v>0</v>
      </c>
      <c r="H9" s="189">
        <v>0</v>
      </c>
      <c r="I9" s="190">
        <v>0</v>
      </c>
      <c r="J9" s="191">
        <v>0</v>
      </c>
      <c r="K9" s="131">
        <v>723.24</v>
      </c>
      <c r="L9" s="131">
        <v>0</v>
      </c>
      <c r="M9" s="131"/>
      <c r="N9" s="131"/>
      <c r="O9" s="131"/>
      <c r="P9" s="131">
        <v>0</v>
      </c>
      <c r="Q9" s="131"/>
      <c r="R9" s="192">
        <v>723.24</v>
      </c>
      <c r="S9" s="189">
        <v>0</v>
      </c>
      <c r="T9" s="189">
        <v>0</v>
      </c>
      <c r="U9" s="189">
        <v>0</v>
      </c>
      <c r="V9" s="189">
        <v>723.24</v>
      </c>
      <c r="W9" s="189">
        <v>0</v>
      </c>
      <c r="X9" s="193">
        <v>723.24</v>
      </c>
      <c r="Y9" s="194">
        <v>0</v>
      </c>
      <c r="Z9" s="196">
        <v>0</v>
      </c>
      <c r="AA9" s="196">
        <v>0</v>
      </c>
      <c r="AB9" s="196">
        <v>723.24</v>
      </c>
      <c r="AC9" s="196">
        <v>0</v>
      </c>
      <c r="AD9" s="197">
        <v>0</v>
      </c>
      <c r="AE9" s="197">
        <v>723.24</v>
      </c>
    </row>
    <row r="10" spans="1:31" x14ac:dyDescent="0.25">
      <c r="A10" s="187"/>
      <c r="B10" s="187" t="s">
        <v>62</v>
      </c>
      <c r="C10" s="188">
        <v>0</v>
      </c>
      <c r="D10" s="189">
        <v>0</v>
      </c>
      <c r="E10" s="189">
        <v>0</v>
      </c>
      <c r="F10" s="189">
        <v>0</v>
      </c>
      <c r="G10" s="189">
        <v>0</v>
      </c>
      <c r="H10" s="189">
        <v>0</v>
      </c>
      <c r="I10" s="190">
        <v>0</v>
      </c>
      <c r="J10" s="191">
        <v>0</v>
      </c>
      <c r="K10" s="131">
        <v>10950</v>
      </c>
      <c r="L10" s="131">
        <v>0</v>
      </c>
      <c r="M10" s="131"/>
      <c r="N10" s="131"/>
      <c r="O10" s="131"/>
      <c r="P10" s="131">
        <v>380</v>
      </c>
      <c r="Q10" s="131"/>
      <c r="R10" s="192">
        <v>11330</v>
      </c>
      <c r="S10" s="189">
        <v>0</v>
      </c>
      <c r="T10" s="189">
        <v>0</v>
      </c>
      <c r="U10" s="189">
        <v>0</v>
      </c>
      <c r="V10" s="189">
        <v>10950</v>
      </c>
      <c r="W10" s="189">
        <v>0</v>
      </c>
      <c r="X10" s="193">
        <v>10950</v>
      </c>
      <c r="Y10" s="194">
        <v>0</v>
      </c>
      <c r="Z10" s="198">
        <v>0</v>
      </c>
      <c r="AA10" s="198">
        <v>0</v>
      </c>
      <c r="AB10" s="198">
        <v>10950</v>
      </c>
      <c r="AC10" s="198">
        <v>0</v>
      </c>
      <c r="AD10" s="195">
        <v>0</v>
      </c>
      <c r="AE10" s="195">
        <v>10950</v>
      </c>
    </row>
    <row r="11" spans="1:31" x14ac:dyDescent="0.25">
      <c r="A11" s="187"/>
      <c r="B11" s="187" t="s">
        <v>90</v>
      </c>
      <c r="C11" s="188">
        <v>7558</v>
      </c>
      <c r="D11" s="189">
        <v>300</v>
      </c>
      <c r="E11" s="189">
        <v>0</v>
      </c>
      <c r="F11" s="189">
        <v>0</v>
      </c>
      <c r="G11" s="189">
        <v>7258</v>
      </c>
      <c r="H11" s="189">
        <v>0</v>
      </c>
      <c r="I11" s="190">
        <v>0.24</v>
      </c>
      <c r="J11" s="191">
        <v>1813.9199999999998</v>
      </c>
      <c r="K11" s="131">
        <v>1100</v>
      </c>
      <c r="L11" s="131">
        <v>0</v>
      </c>
      <c r="M11" s="131"/>
      <c r="N11" s="131"/>
      <c r="O11" s="131">
        <v>700</v>
      </c>
      <c r="P11" s="131">
        <v>0</v>
      </c>
      <c r="Q11" s="131"/>
      <c r="R11" s="192">
        <v>2213.92</v>
      </c>
      <c r="S11" s="189">
        <v>1172</v>
      </c>
      <c r="T11" s="189">
        <v>0</v>
      </c>
      <c r="U11" s="189">
        <v>0</v>
      </c>
      <c r="V11" s="189">
        <v>1741.9199999999998</v>
      </c>
      <c r="W11" s="189">
        <v>0</v>
      </c>
      <c r="X11" s="193">
        <v>2913.92</v>
      </c>
      <c r="Y11" s="194">
        <v>1100</v>
      </c>
      <c r="Z11" s="198">
        <v>0</v>
      </c>
      <c r="AA11" s="198">
        <v>0</v>
      </c>
      <c r="AB11" s="198">
        <v>0</v>
      </c>
      <c r="AC11" s="198">
        <v>0</v>
      </c>
      <c r="AD11" s="195">
        <v>0</v>
      </c>
      <c r="AE11" s="195">
        <v>1100</v>
      </c>
    </row>
    <row r="12" spans="1:31" x14ac:dyDescent="0.25">
      <c r="A12" s="187"/>
      <c r="B12" s="187" t="s">
        <v>68</v>
      </c>
      <c r="C12" s="188">
        <v>0</v>
      </c>
      <c r="D12" s="189">
        <v>0</v>
      </c>
      <c r="E12" s="189">
        <v>0</v>
      </c>
      <c r="F12" s="189">
        <v>0</v>
      </c>
      <c r="G12" s="189">
        <v>0</v>
      </c>
      <c r="H12" s="189">
        <v>0</v>
      </c>
      <c r="I12" s="190">
        <v>0</v>
      </c>
      <c r="J12" s="191">
        <v>0</v>
      </c>
      <c r="K12" s="131">
        <v>5087</v>
      </c>
      <c r="L12" s="131">
        <v>0</v>
      </c>
      <c r="M12" s="131"/>
      <c r="N12" s="131"/>
      <c r="O12" s="131"/>
      <c r="P12" s="131">
        <v>0</v>
      </c>
      <c r="Q12" s="131"/>
      <c r="R12" s="192">
        <v>5087</v>
      </c>
      <c r="S12" s="189">
        <v>0</v>
      </c>
      <c r="T12" s="189">
        <v>0</v>
      </c>
      <c r="U12" s="189">
        <v>0</v>
      </c>
      <c r="V12" s="189">
        <v>5087</v>
      </c>
      <c r="W12" s="189">
        <v>0</v>
      </c>
      <c r="X12" s="193">
        <v>5087</v>
      </c>
      <c r="Y12" s="194">
        <v>0</v>
      </c>
      <c r="Z12" s="196">
        <v>0</v>
      </c>
      <c r="AA12" s="196">
        <v>0</v>
      </c>
      <c r="AB12" s="196">
        <v>5087</v>
      </c>
      <c r="AC12" s="196">
        <v>0</v>
      </c>
      <c r="AD12" s="197">
        <v>0</v>
      </c>
      <c r="AE12" s="197">
        <v>5087</v>
      </c>
    </row>
    <row r="13" spans="1:31" x14ac:dyDescent="0.25">
      <c r="A13" s="187"/>
      <c r="B13" s="187" t="s">
        <v>69</v>
      </c>
      <c r="C13" s="188">
        <v>0</v>
      </c>
      <c r="D13" s="189">
        <v>0</v>
      </c>
      <c r="E13" s="189">
        <v>0</v>
      </c>
      <c r="F13" s="189">
        <v>0</v>
      </c>
      <c r="G13" s="189">
        <v>0</v>
      </c>
      <c r="H13" s="189">
        <v>0</v>
      </c>
      <c r="I13" s="190">
        <v>0</v>
      </c>
      <c r="J13" s="191">
        <v>0</v>
      </c>
      <c r="K13" s="131">
        <v>5556</v>
      </c>
      <c r="L13" s="131">
        <v>300</v>
      </c>
      <c r="M13" s="131"/>
      <c r="N13" s="131"/>
      <c r="O13" s="131"/>
      <c r="P13" s="131">
        <v>0</v>
      </c>
      <c r="Q13" s="131"/>
      <c r="R13" s="192">
        <v>5256</v>
      </c>
      <c r="S13" s="189">
        <v>1628</v>
      </c>
      <c r="T13" s="189">
        <v>0</v>
      </c>
      <c r="U13" s="189">
        <v>0</v>
      </c>
      <c r="V13" s="189">
        <v>3928</v>
      </c>
      <c r="W13" s="189">
        <v>0</v>
      </c>
      <c r="X13" s="193">
        <v>5556</v>
      </c>
      <c r="Y13" s="194">
        <v>1628</v>
      </c>
      <c r="Z13" s="198">
        <v>0</v>
      </c>
      <c r="AA13" s="198">
        <v>0</v>
      </c>
      <c r="AB13" s="198">
        <v>3928</v>
      </c>
      <c r="AC13" s="198">
        <v>0</v>
      </c>
      <c r="AD13" s="195">
        <v>0</v>
      </c>
      <c r="AE13" s="195">
        <v>5556</v>
      </c>
    </row>
    <row r="14" spans="1:31" x14ac:dyDescent="0.25">
      <c r="A14" s="187"/>
      <c r="B14" s="187" t="s">
        <v>51</v>
      </c>
      <c r="C14" s="188">
        <v>171563</v>
      </c>
      <c r="D14" s="189">
        <v>0</v>
      </c>
      <c r="E14" s="189">
        <v>0</v>
      </c>
      <c r="F14" s="189">
        <v>0</v>
      </c>
      <c r="G14" s="189">
        <v>171563</v>
      </c>
      <c r="H14" s="189">
        <v>0</v>
      </c>
      <c r="I14" s="190">
        <v>0.3</v>
      </c>
      <c r="J14" s="191">
        <v>51468.9</v>
      </c>
      <c r="K14" s="131">
        <v>9500</v>
      </c>
      <c r="L14" s="131">
        <v>0</v>
      </c>
      <c r="M14" s="131"/>
      <c r="N14" s="131"/>
      <c r="O14" s="131"/>
      <c r="P14" s="131">
        <v>3509.9999999999995</v>
      </c>
      <c r="Q14" s="131"/>
      <c r="R14" s="192">
        <v>64478.9</v>
      </c>
      <c r="S14" s="189">
        <v>0</v>
      </c>
      <c r="T14" s="189">
        <v>0</v>
      </c>
      <c r="U14" s="189">
        <v>0</v>
      </c>
      <c r="V14" s="189">
        <v>60968.9</v>
      </c>
      <c r="W14" s="189">
        <v>0</v>
      </c>
      <c r="X14" s="193">
        <v>60968.9</v>
      </c>
      <c r="Y14" s="194">
        <v>0</v>
      </c>
      <c r="Z14" s="196">
        <v>0</v>
      </c>
      <c r="AA14" s="196">
        <v>0</v>
      </c>
      <c r="AB14" s="196">
        <v>9500</v>
      </c>
      <c r="AC14" s="196">
        <v>0</v>
      </c>
      <c r="AD14" s="197">
        <v>0</v>
      </c>
      <c r="AE14" s="197">
        <v>9500</v>
      </c>
    </row>
    <row r="15" spans="1:31" x14ac:dyDescent="0.25">
      <c r="A15" s="187"/>
      <c r="B15" s="187" t="s">
        <v>48</v>
      </c>
      <c r="C15" s="188">
        <v>61050</v>
      </c>
      <c r="D15" s="189">
        <v>22150</v>
      </c>
      <c r="E15" s="189">
        <v>0</v>
      </c>
      <c r="F15" s="189">
        <v>3450</v>
      </c>
      <c r="G15" s="189">
        <v>35250</v>
      </c>
      <c r="H15" s="189">
        <v>200</v>
      </c>
      <c r="I15" s="190">
        <v>0.3</v>
      </c>
      <c r="J15" s="191">
        <v>18315</v>
      </c>
      <c r="K15" s="131">
        <v>5550</v>
      </c>
      <c r="L15" s="131">
        <v>0</v>
      </c>
      <c r="M15" s="131"/>
      <c r="N15" s="131"/>
      <c r="O15" s="131"/>
      <c r="P15" s="131">
        <v>0</v>
      </c>
      <c r="Q15" s="131"/>
      <c r="R15" s="192">
        <v>23865</v>
      </c>
      <c r="S15" s="189">
        <v>10145</v>
      </c>
      <c r="T15" s="189">
        <v>100</v>
      </c>
      <c r="U15" s="189">
        <v>1035</v>
      </c>
      <c r="V15" s="189">
        <v>12125</v>
      </c>
      <c r="W15" s="189">
        <v>460</v>
      </c>
      <c r="X15" s="193">
        <v>23865</v>
      </c>
      <c r="Y15" s="194">
        <v>3500</v>
      </c>
      <c r="Z15" s="198">
        <v>100</v>
      </c>
      <c r="AA15" s="198">
        <v>0</v>
      </c>
      <c r="AB15" s="198">
        <v>1550</v>
      </c>
      <c r="AC15" s="198">
        <v>400</v>
      </c>
      <c r="AD15" s="195">
        <v>0</v>
      </c>
      <c r="AE15" s="195">
        <v>5550</v>
      </c>
    </row>
    <row r="16" spans="1:31" x14ac:dyDescent="0.25">
      <c r="A16" s="187"/>
      <c r="B16" s="187" t="s">
        <v>70</v>
      </c>
      <c r="C16" s="188">
        <v>17100</v>
      </c>
      <c r="D16" s="189">
        <v>5150</v>
      </c>
      <c r="E16" s="189">
        <v>0</v>
      </c>
      <c r="F16" s="189">
        <v>1500</v>
      </c>
      <c r="G16" s="189">
        <v>250</v>
      </c>
      <c r="H16" s="189">
        <v>10200</v>
      </c>
      <c r="I16" s="190">
        <v>0.18</v>
      </c>
      <c r="J16" s="191">
        <v>3078</v>
      </c>
      <c r="K16" s="131">
        <v>700</v>
      </c>
      <c r="L16" s="131">
        <v>0</v>
      </c>
      <c r="M16" s="131"/>
      <c r="N16" s="131"/>
      <c r="O16" s="131"/>
      <c r="P16" s="131">
        <v>0</v>
      </c>
      <c r="Q16" s="131"/>
      <c r="R16" s="192">
        <v>3778</v>
      </c>
      <c r="S16" s="189">
        <v>927</v>
      </c>
      <c r="T16" s="189">
        <v>600</v>
      </c>
      <c r="U16" s="189">
        <v>370</v>
      </c>
      <c r="V16" s="189">
        <v>45</v>
      </c>
      <c r="W16" s="189">
        <v>1836</v>
      </c>
      <c r="X16" s="193">
        <v>3778</v>
      </c>
      <c r="Y16" s="194">
        <v>0</v>
      </c>
      <c r="Z16" s="196">
        <v>600</v>
      </c>
      <c r="AA16" s="196">
        <v>100</v>
      </c>
      <c r="AB16" s="196">
        <v>0</v>
      </c>
      <c r="AC16" s="196">
        <v>0</v>
      </c>
      <c r="AD16" s="197">
        <v>0</v>
      </c>
      <c r="AE16" s="197">
        <v>700</v>
      </c>
    </row>
    <row r="17" spans="1:31" x14ac:dyDescent="0.25">
      <c r="A17" s="187"/>
      <c r="B17" s="187" t="s">
        <v>71</v>
      </c>
      <c r="C17" s="188">
        <v>78950</v>
      </c>
      <c r="D17" s="189">
        <v>8250</v>
      </c>
      <c r="E17" s="189">
        <v>250</v>
      </c>
      <c r="F17" s="189">
        <v>11500</v>
      </c>
      <c r="G17" s="189">
        <v>4250</v>
      </c>
      <c r="H17" s="189">
        <v>54700</v>
      </c>
      <c r="I17" s="190">
        <v>0.28000000000000003</v>
      </c>
      <c r="J17" s="191">
        <v>22106.000000000004</v>
      </c>
      <c r="K17" s="189">
        <v>1800</v>
      </c>
      <c r="L17" s="131">
        <v>0</v>
      </c>
      <c r="M17" s="189"/>
      <c r="N17" s="189"/>
      <c r="O17" s="189"/>
      <c r="P17" s="189">
        <v>0</v>
      </c>
      <c r="Q17" s="131"/>
      <c r="R17" s="192">
        <v>23906.000000000004</v>
      </c>
      <c r="S17" s="189">
        <v>2310</v>
      </c>
      <c r="T17" s="189">
        <v>1070</v>
      </c>
      <c r="U17" s="189">
        <v>3220.0000000000005</v>
      </c>
      <c r="V17" s="189">
        <v>1290</v>
      </c>
      <c r="W17" s="189">
        <v>16016.000000000002</v>
      </c>
      <c r="X17" s="193">
        <v>23906</v>
      </c>
      <c r="Y17" s="194">
        <v>0</v>
      </c>
      <c r="Z17" s="198">
        <v>1000</v>
      </c>
      <c r="AA17" s="198">
        <v>0</v>
      </c>
      <c r="AB17" s="198">
        <v>100</v>
      </c>
      <c r="AC17" s="198">
        <v>700</v>
      </c>
      <c r="AD17" s="195">
        <v>0</v>
      </c>
      <c r="AE17" s="195">
        <v>1800</v>
      </c>
    </row>
    <row r="18" spans="1:31" x14ac:dyDescent="0.25">
      <c r="A18" s="187"/>
      <c r="B18" s="187" t="s">
        <v>72</v>
      </c>
      <c r="C18" s="188">
        <v>8000</v>
      </c>
      <c r="D18" s="189">
        <v>0</v>
      </c>
      <c r="E18" s="189">
        <v>1000</v>
      </c>
      <c r="F18" s="189">
        <v>0</v>
      </c>
      <c r="G18" s="189">
        <v>7000</v>
      </c>
      <c r="H18" s="189">
        <v>0</v>
      </c>
      <c r="I18" s="190">
        <v>0.28000000000000003</v>
      </c>
      <c r="J18" s="191">
        <v>2240</v>
      </c>
      <c r="K18" s="131">
        <v>600</v>
      </c>
      <c r="L18" s="131">
        <v>0</v>
      </c>
      <c r="M18" s="131"/>
      <c r="N18" s="131"/>
      <c r="O18" s="131"/>
      <c r="P18" s="131">
        <v>0</v>
      </c>
      <c r="Q18" s="131"/>
      <c r="R18" s="192">
        <v>2840</v>
      </c>
      <c r="S18" s="189">
        <v>0</v>
      </c>
      <c r="T18" s="189">
        <v>280</v>
      </c>
      <c r="U18" s="189">
        <v>0</v>
      </c>
      <c r="V18" s="189">
        <v>2560</v>
      </c>
      <c r="W18" s="189">
        <v>0</v>
      </c>
      <c r="X18" s="193">
        <v>2840</v>
      </c>
      <c r="Y18" s="194">
        <v>0</v>
      </c>
      <c r="Z18" s="196">
        <v>0</v>
      </c>
      <c r="AA18" s="196">
        <v>0</v>
      </c>
      <c r="AB18" s="196">
        <v>600</v>
      </c>
      <c r="AC18" s="196">
        <v>0</v>
      </c>
      <c r="AD18" s="197">
        <v>0</v>
      </c>
      <c r="AE18" s="197">
        <v>600</v>
      </c>
    </row>
    <row r="19" spans="1:31" x14ac:dyDescent="0.25">
      <c r="A19" s="187"/>
      <c r="B19" s="187" t="s">
        <v>130</v>
      </c>
      <c r="C19" s="188">
        <v>1000</v>
      </c>
      <c r="D19" s="189">
        <v>0</v>
      </c>
      <c r="E19" s="189">
        <v>0</v>
      </c>
      <c r="F19" s="189">
        <v>0</v>
      </c>
      <c r="G19" s="189">
        <v>1000</v>
      </c>
      <c r="H19" s="189">
        <v>0</v>
      </c>
      <c r="I19" s="190">
        <v>0.3</v>
      </c>
      <c r="J19" s="191">
        <v>300</v>
      </c>
      <c r="K19" s="131">
        <v>0</v>
      </c>
      <c r="L19" s="131">
        <v>0</v>
      </c>
      <c r="M19" s="131"/>
      <c r="N19" s="131"/>
      <c r="O19" s="131"/>
      <c r="P19" s="131">
        <v>0</v>
      </c>
      <c r="Q19" s="131"/>
      <c r="R19" s="192">
        <v>300</v>
      </c>
      <c r="S19" s="189">
        <v>0</v>
      </c>
      <c r="T19" s="189">
        <v>0</v>
      </c>
      <c r="U19" s="189">
        <v>0</v>
      </c>
      <c r="V19" s="189">
        <v>300</v>
      </c>
      <c r="W19" s="189">
        <v>0</v>
      </c>
      <c r="X19" s="193">
        <v>300</v>
      </c>
      <c r="Y19" s="194">
        <v>0</v>
      </c>
      <c r="Z19" s="198">
        <v>0</v>
      </c>
      <c r="AA19" s="198">
        <v>0</v>
      </c>
      <c r="AB19" s="198">
        <v>0</v>
      </c>
      <c r="AC19" s="198">
        <v>0</v>
      </c>
      <c r="AD19" s="195">
        <v>0</v>
      </c>
      <c r="AE19" s="195">
        <v>0</v>
      </c>
    </row>
    <row r="20" spans="1:31" x14ac:dyDescent="0.25">
      <c r="A20" s="187"/>
      <c r="B20" s="187" t="s">
        <v>95</v>
      </c>
      <c r="C20" s="188">
        <v>100100</v>
      </c>
      <c r="D20" s="189">
        <v>5000</v>
      </c>
      <c r="E20" s="189">
        <v>0</v>
      </c>
      <c r="F20" s="189">
        <v>17250</v>
      </c>
      <c r="G20" s="189">
        <v>77850</v>
      </c>
      <c r="H20" s="189">
        <v>0</v>
      </c>
      <c r="I20" s="190">
        <v>0.3</v>
      </c>
      <c r="J20" s="191">
        <v>30030</v>
      </c>
      <c r="K20" s="131">
        <v>200</v>
      </c>
      <c r="L20" s="131">
        <v>0</v>
      </c>
      <c r="M20" s="131"/>
      <c r="N20" s="131"/>
      <c r="O20" s="131"/>
      <c r="P20" s="131">
        <v>0</v>
      </c>
      <c r="Q20" s="131"/>
      <c r="R20" s="192">
        <v>30230</v>
      </c>
      <c r="S20" s="189">
        <v>1500</v>
      </c>
      <c r="T20" s="189">
        <v>0</v>
      </c>
      <c r="U20" s="189">
        <v>5375</v>
      </c>
      <c r="V20" s="189">
        <v>23355</v>
      </c>
      <c r="W20" s="189">
        <v>0</v>
      </c>
      <c r="X20" s="193">
        <v>30230</v>
      </c>
      <c r="Y20" s="194">
        <v>0</v>
      </c>
      <c r="Z20" s="196">
        <v>0</v>
      </c>
      <c r="AA20" s="196">
        <v>200</v>
      </c>
      <c r="AB20" s="196">
        <v>0</v>
      </c>
      <c r="AC20" s="196">
        <v>0</v>
      </c>
      <c r="AD20" s="197">
        <v>0</v>
      </c>
      <c r="AE20" s="197">
        <v>200</v>
      </c>
    </row>
    <row r="21" spans="1:31" x14ac:dyDescent="0.25">
      <c r="A21" s="187"/>
      <c r="B21" s="187" t="s">
        <v>131</v>
      </c>
      <c r="C21" s="188">
        <v>7400</v>
      </c>
      <c r="D21" s="189">
        <v>1650</v>
      </c>
      <c r="E21" s="189">
        <v>0</v>
      </c>
      <c r="F21" s="189">
        <v>250</v>
      </c>
      <c r="G21" s="189">
        <v>5500</v>
      </c>
      <c r="H21" s="189">
        <v>0</v>
      </c>
      <c r="I21" s="190">
        <v>0.27</v>
      </c>
      <c r="J21" s="191">
        <v>1998.0000000000002</v>
      </c>
      <c r="K21" s="131">
        <v>400</v>
      </c>
      <c r="L21" s="131">
        <v>0</v>
      </c>
      <c r="M21" s="131"/>
      <c r="N21" s="131"/>
      <c r="O21" s="131">
        <v>500</v>
      </c>
      <c r="P21" s="131">
        <v>0</v>
      </c>
      <c r="Q21" s="131"/>
      <c r="R21" s="192">
        <v>1898</v>
      </c>
      <c r="S21" s="189">
        <v>445.50000000000006</v>
      </c>
      <c r="T21" s="189">
        <v>0</v>
      </c>
      <c r="U21" s="189">
        <v>67.5</v>
      </c>
      <c r="V21" s="189">
        <v>1485</v>
      </c>
      <c r="W21" s="189">
        <v>400</v>
      </c>
      <c r="X21" s="193">
        <v>2398</v>
      </c>
      <c r="Y21" s="194">
        <v>0</v>
      </c>
      <c r="Z21" s="198">
        <v>0</v>
      </c>
      <c r="AA21" s="198">
        <v>0</v>
      </c>
      <c r="AB21" s="198">
        <v>0</v>
      </c>
      <c r="AC21" s="198">
        <v>400</v>
      </c>
      <c r="AD21" s="195">
        <v>0</v>
      </c>
      <c r="AE21" s="195">
        <v>400</v>
      </c>
    </row>
    <row r="22" spans="1:31" x14ac:dyDescent="0.25">
      <c r="A22" s="187"/>
      <c r="B22" s="187" t="s">
        <v>52</v>
      </c>
      <c r="C22" s="188">
        <v>13475</v>
      </c>
      <c r="D22" s="189">
        <v>2400</v>
      </c>
      <c r="E22" s="189">
        <v>3825</v>
      </c>
      <c r="F22" s="189">
        <v>250</v>
      </c>
      <c r="G22" s="189">
        <v>1900</v>
      </c>
      <c r="H22" s="189">
        <v>5100</v>
      </c>
      <c r="I22" s="190">
        <v>0.3</v>
      </c>
      <c r="J22" s="191">
        <v>4042.5</v>
      </c>
      <c r="K22" s="131">
        <v>100</v>
      </c>
      <c r="L22" s="131">
        <v>0</v>
      </c>
      <c r="M22" s="131"/>
      <c r="N22" s="131"/>
      <c r="O22" s="131">
        <v>1500</v>
      </c>
      <c r="P22" s="131">
        <v>0</v>
      </c>
      <c r="Q22" s="131"/>
      <c r="R22" s="192">
        <v>2642.5</v>
      </c>
      <c r="S22" s="189">
        <v>720</v>
      </c>
      <c r="T22" s="189">
        <v>1147.5</v>
      </c>
      <c r="U22" s="189">
        <v>75</v>
      </c>
      <c r="V22" s="189">
        <v>570</v>
      </c>
      <c r="W22" s="189">
        <v>1630</v>
      </c>
      <c r="X22" s="193">
        <v>4142.5</v>
      </c>
      <c r="Y22" s="194">
        <v>0</v>
      </c>
      <c r="Z22" s="196">
        <v>0</v>
      </c>
      <c r="AA22" s="196">
        <v>0</v>
      </c>
      <c r="AB22" s="196">
        <v>0</v>
      </c>
      <c r="AC22" s="196">
        <v>100</v>
      </c>
      <c r="AD22" s="197">
        <v>0</v>
      </c>
      <c r="AE22" s="197">
        <v>100</v>
      </c>
    </row>
    <row r="23" spans="1:31" x14ac:dyDescent="0.25">
      <c r="A23" s="187"/>
      <c r="B23" s="187" t="s">
        <v>85</v>
      </c>
      <c r="C23" s="188">
        <v>22550</v>
      </c>
      <c r="D23" s="189">
        <v>7200</v>
      </c>
      <c r="E23" s="189">
        <v>8400</v>
      </c>
      <c r="F23" s="189">
        <v>0</v>
      </c>
      <c r="G23" s="189">
        <v>4150</v>
      </c>
      <c r="H23" s="189">
        <v>2800</v>
      </c>
      <c r="I23" s="190">
        <v>0.24</v>
      </c>
      <c r="J23" s="191">
        <v>5412</v>
      </c>
      <c r="K23" s="131">
        <v>100</v>
      </c>
      <c r="L23" s="131">
        <v>0</v>
      </c>
      <c r="M23" s="131"/>
      <c r="N23" s="131"/>
      <c r="O23" s="131"/>
      <c r="P23" s="131">
        <v>0</v>
      </c>
      <c r="Q23" s="131"/>
      <c r="R23" s="192">
        <v>5512</v>
      </c>
      <c r="S23" s="189">
        <v>1728</v>
      </c>
      <c r="T23" s="189">
        <v>2016</v>
      </c>
      <c r="U23" s="189">
        <v>0</v>
      </c>
      <c r="V23" s="189">
        <v>1096</v>
      </c>
      <c r="W23" s="189">
        <v>672</v>
      </c>
      <c r="X23" s="193">
        <v>5512</v>
      </c>
      <c r="Y23" s="194">
        <v>0</v>
      </c>
      <c r="Z23" s="198">
        <v>0</v>
      </c>
      <c r="AA23" s="198">
        <v>0</v>
      </c>
      <c r="AB23" s="198">
        <v>100</v>
      </c>
      <c r="AC23" s="198">
        <v>0</v>
      </c>
      <c r="AD23" s="195">
        <v>0</v>
      </c>
      <c r="AE23" s="195">
        <v>100</v>
      </c>
    </row>
    <row r="24" spans="1:31" x14ac:dyDescent="0.25">
      <c r="A24" s="187"/>
      <c r="B24" s="187" t="s">
        <v>132</v>
      </c>
      <c r="C24" s="188">
        <v>14800</v>
      </c>
      <c r="D24" s="189">
        <v>0</v>
      </c>
      <c r="E24" s="189">
        <v>1000</v>
      </c>
      <c r="F24" s="189">
        <v>13800</v>
      </c>
      <c r="G24" s="189">
        <v>0</v>
      </c>
      <c r="H24" s="189">
        <v>0</v>
      </c>
      <c r="I24" s="190">
        <v>0.22</v>
      </c>
      <c r="J24" s="191">
        <v>3256</v>
      </c>
      <c r="K24" s="131">
        <v>100</v>
      </c>
      <c r="L24" s="131">
        <v>0</v>
      </c>
      <c r="M24" s="131"/>
      <c r="N24" s="131"/>
      <c r="O24" s="131"/>
      <c r="P24" s="131">
        <v>0</v>
      </c>
      <c r="Q24" s="131"/>
      <c r="R24" s="192">
        <v>3356</v>
      </c>
      <c r="S24" s="189">
        <v>0</v>
      </c>
      <c r="T24" s="189">
        <v>220</v>
      </c>
      <c r="U24" s="189">
        <v>3036</v>
      </c>
      <c r="V24" s="189">
        <v>0</v>
      </c>
      <c r="W24" s="189">
        <v>100</v>
      </c>
      <c r="X24" s="193">
        <v>3356</v>
      </c>
      <c r="Y24" s="194">
        <v>0</v>
      </c>
      <c r="Z24" s="196">
        <v>0</v>
      </c>
      <c r="AA24" s="196">
        <v>0</v>
      </c>
      <c r="AB24" s="196">
        <v>0</v>
      </c>
      <c r="AC24" s="196">
        <v>100</v>
      </c>
      <c r="AD24" s="197">
        <v>0</v>
      </c>
      <c r="AE24" s="197">
        <v>100</v>
      </c>
    </row>
    <row r="25" spans="1:31" x14ac:dyDescent="0.25">
      <c r="A25" s="187"/>
      <c r="B25" s="187" t="s">
        <v>91</v>
      </c>
      <c r="C25" s="188">
        <v>24300</v>
      </c>
      <c r="D25" s="189">
        <v>5200</v>
      </c>
      <c r="E25" s="189">
        <v>2500</v>
      </c>
      <c r="F25" s="189">
        <v>2200</v>
      </c>
      <c r="G25" s="189">
        <v>0</v>
      </c>
      <c r="H25" s="189">
        <v>14400</v>
      </c>
      <c r="I25" s="190">
        <v>0.18</v>
      </c>
      <c r="J25" s="191">
        <v>4374</v>
      </c>
      <c r="K25" s="131">
        <v>1200</v>
      </c>
      <c r="L25" s="131">
        <v>0</v>
      </c>
      <c r="M25" s="131"/>
      <c r="N25" s="131"/>
      <c r="O25" s="131"/>
      <c r="P25" s="131">
        <v>0</v>
      </c>
      <c r="Q25" s="131"/>
      <c r="R25" s="192">
        <v>5574</v>
      </c>
      <c r="S25" s="189">
        <v>936</v>
      </c>
      <c r="T25" s="189">
        <v>450</v>
      </c>
      <c r="U25" s="189">
        <v>396</v>
      </c>
      <c r="V25" s="189">
        <v>0</v>
      </c>
      <c r="W25" s="189">
        <v>3792</v>
      </c>
      <c r="X25" s="193">
        <v>5574</v>
      </c>
      <c r="Y25" s="194">
        <v>0</v>
      </c>
      <c r="Z25" s="198">
        <v>0</v>
      </c>
      <c r="AA25" s="198">
        <v>0</v>
      </c>
      <c r="AB25" s="198">
        <v>0</v>
      </c>
      <c r="AC25" s="198">
        <v>1200</v>
      </c>
      <c r="AD25" s="195">
        <v>0</v>
      </c>
      <c r="AE25" s="195">
        <v>1200</v>
      </c>
    </row>
    <row r="26" spans="1:31" x14ac:dyDescent="0.25">
      <c r="A26" s="187"/>
      <c r="B26" s="187" t="s">
        <v>93</v>
      </c>
      <c r="C26" s="188">
        <v>41550</v>
      </c>
      <c r="D26" s="189">
        <v>15400</v>
      </c>
      <c r="E26" s="189">
        <v>0</v>
      </c>
      <c r="F26" s="189">
        <v>13050</v>
      </c>
      <c r="G26" s="189">
        <v>13100</v>
      </c>
      <c r="H26" s="189">
        <v>0</v>
      </c>
      <c r="I26" s="190">
        <v>0.3</v>
      </c>
      <c r="J26" s="191">
        <v>12465</v>
      </c>
      <c r="K26" s="131">
        <v>3050</v>
      </c>
      <c r="L26" s="131">
        <v>0</v>
      </c>
      <c r="M26" s="131"/>
      <c r="N26" s="131"/>
      <c r="O26" s="131"/>
      <c r="P26" s="131">
        <v>0</v>
      </c>
      <c r="Q26" s="131"/>
      <c r="R26" s="192">
        <v>15515</v>
      </c>
      <c r="S26" s="189">
        <v>6620</v>
      </c>
      <c r="T26" s="189">
        <v>0</v>
      </c>
      <c r="U26" s="189">
        <v>3915</v>
      </c>
      <c r="V26" s="189">
        <v>3930</v>
      </c>
      <c r="W26" s="189">
        <v>1050</v>
      </c>
      <c r="X26" s="193">
        <v>15515</v>
      </c>
      <c r="Y26" s="194">
        <v>2000</v>
      </c>
      <c r="Z26" s="196">
        <v>0</v>
      </c>
      <c r="AA26" s="196">
        <v>0</v>
      </c>
      <c r="AB26" s="196">
        <v>0</v>
      </c>
      <c r="AC26" s="196">
        <v>1050</v>
      </c>
      <c r="AD26" s="197">
        <v>0</v>
      </c>
      <c r="AE26" s="197">
        <v>3050</v>
      </c>
    </row>
    <row r="27" spans="1:31" x14ac:dyDescent="0.25">
      <c r="A27" s="187"/>
      <c r="B27" s="187" t="s">
        <v>133</v>
      </c>
      <c r="C27" s="188">
        <v>8500</v>
      </c>
      <c r="D27" s="189">
        <v>0</v>
      </c>
      <c r="E27" s="189">
        <v>4050</v>
      </c>
      <c r="F27" s="189">
        <v>0</v>
      </c>
      <c r="G27" s="189">
        <v>250</v>
      </c>
      <c r="H27" s="189">
        <v>4200</v>
      </c>
      <c r="I27" s="190">
        <v>0.27</v>
      </c>
      <c r="J27" s="191">
        <v>2295</v>
      </c>
      <c r="K27" s="131">
        <v>300</v>
      </c>
      <c r="L27" s="131">
        <v>0</v>
      </c>
      <c r="M27" s="131"/>
      <c r="N27" s="131"/>
      <c r="O27" s="189"/>
      <c r="P27" s="131">
        <v>0</v>
      </c>
      <c r="Q27" s="131"/>
      <c r="R27" s="192">
        <v>2595</v>
      </c>
      <c r="S27" s="189">
        <v>0</v>
      </c>
      <c r="T27" s="189">
        <v>1093.5</v>
      </c>
      <c r="U27" s="189">
        <v>0</v>
      </c>
      <c r="V27" s="189">
        <v>67.5</v>
      </c>
      <c r="W27" s="189">
        <v>1434</v>
      </c>
      <c r="X27" s="193">
        <v>2595</v>
      </c>
      <c r="Y27" s="194">
        <v>0</v>
      </c>
      <c r="Z27" s="198">
        <v>0</v>
      </c>
      <c r="AA27" s="198">
        <v>0</v>
      </c>
      <c r="AB27" s="198">
        <v>0</v>
      </c>
      <c r="AC27" s="198">
        <v>300</v>
      </c>
      <c r="AD27" s="195">
        <v>0</v>
      </c>
      <c r="AE27" s="195">
        <v>300</v>
      </c>
    </row>
    <row r="28" spans="1:31" x14ac:dyDescent="0.25">
      <c r="A28" s="187"/>
      <c r="B28" s="187" t="s">
        <v>92</v>
      </c>
      <c r="C28" s="188">
        <v>23900</v>
      </c>
      <c r="D28" s="189">
        <v>0</v>
      </c>
      <c r="E28" s="189">
        <v>250</v>
      </c>
      <c r="F28" s="189">
        <v>9400</v>
      </c>
      <c r="G28" s="189">
        <v>14250</v>
      </c>
      <c r="H28" s="189">
        <v>0</v>
      </c>
      <c r="I28" s="190">
        <v>0.27</v>
      </c>
      <c r="J28" s="191">
        <v>6453</v>
      </c>
      <c r="K28" s="131">
        <v>850</v>
      </c>
      <c r="L28" s="131">
        <v>0</v>
      </c>
      <c r="M28" s="131"/>
      <c r="N28" s="131"/>
      <c r="O28" s="131"/>
      <c r="P28" s="131">
        <v>0</v>
      </c>
      <c r="Q28" s="131"/>
      <c r="R28" s="192">
        <v>7303</v>
      </c>
      <c r="S28" s="189">
        <v>0</v>
      </c>
      <c r="T28" s="189">
        <v>167.5</v>
      </c>
      <c r="U28" s="189">
        <v>2538</v>
      </c>
      <c r="V28" s="189">
        <v>4597.5</v>
      </c>
      <c r="W28" s="189">
        <v>0</v>
      </c>
      <c r="X28" s="193">
        <v>7303</v>
      </c>
      <c r="Y28" s="194">
        <v>0</v>
      </c>
      <c r="Z28" s="196">
        <v>100</v>
      </c>
      <c r="AA28" s="196">
        <v>0</v>
      </c>
      <c r="AB28" s="196">
        <v>750</v>
      </c>
      <c r="AC28" s="196">
        <v>0</v>
      </c>
      <c r="AD28" s="197">
        <v>0</v>
      </c>
      <c r="AE28" s="197">
        <v>850</v>
      </c>
    </row>
    <row r="29" spans="1:31" x14ac:dyDescent="0.25">
      <c r="A29" s="187"/>
      <c r="B29" s="187" t="s">
        <v>134</v>
      </c>
      <c r="C29" s="188">
        <v>7650</v>
      </c>
      <c r="D29" s="189">
        <v>2000</v>
      </c>
      <c r="E29" s="189">
        <v>0</v>
      </c>
      <c r="F29" s="189">
        <v>3250</v>
      </c>
      <c r="G29" s="189">
        <v>0</v>
      </c>
      <c r="H29" s="189">
        <v>2400</v>
      </c>
      <c r="I29" s="190">
        <v>0.24</v>
      </c>
      <c r="J29" s="191">
        <v>1836</v>
      </c>
      <c r="K29" s="131">
        <v>100</v>
      </c>
      <c r="L29" s="131">
        <v>0</v>
      </c>
      <c r="M29" s="131"/>
      <c r="N29" s="131"/>
      <c r="O29" s="131"/>
      <c r="P29" s="131">
        <v>0</v>
      </c>
      <c r="Q29" s="131"/>
      <c r="R29" s="192">
        <v>1936</v>
      </c>
      <c r="S29" s="189">
        <v>580</v>
      </c>
      <c r="T29" s="189">
        <v>0</v>
      </c>
      <c r="U29" s="189">
        <v>780</v>
      </c>
      <c r="V29" s="189">
        <v>0</v>
      </c>
      <c r="W29" s="189">
        <v>576</v>
      </c>
      <c r="X29" s="193">
        <v>1936</v>
      </c>
      <c r="Y29" s="194">
        <v>100</v>
      </c>
      <c r="Z29" s="198">
        <v>0</v>
      </c>
      <c r="AA29" s="198">
        <v>0</v>
      </c>
      <c r="AB29" s="198">
        <v>0</v>
      </c>
      <c r="AC29" s="198">
        <v>0</v>
      </c>
      <c r="AD29" s="195">
        <v>0</v>
      </c>
      <c r="AE29" s="195">
        <v>100</v>
      </c>
    </row>
    <row r="30" spans="1:31" x14ac:dyDescent="0.25">
      <c r="A30" s="187"/>
      <c r="B30" s="187" t="s">
        <v>135</v>
      </c>
      <c r="C30" s="188">
        <v>0</v>
      </c>
      <c r="D30" s="189">
        <v>0</v>
      </c>
      <c r="E30" s="189">
        <v>0</v>
      </c>
      <c r="F30" s="189">
        <v>0</v>
      </c>
      <c r="G30" s="189">
        <v>0</v>
      </c>
      <c r="H30" s="189">
        <v>0</v>
      </c>
      <c r="I30" s="190">
        <v>0</v>
      </c>
      <c r="J30" s="191">
        <v>0</v>
      </c>
      <c r="K30" s="131">
        <v>2750</v>
      </c>
      <c r="L30" s="131">
        <v>0</v>
      </c>
      <c r="M30" s="131"/>
      <c r="N30" s="131"/>
      <c r="O30" s="131"/>
      <c r="P30" s="131">
        <v>0</v>
      </c>
      <c r="Q30" s="131"/>
      <c r="R30" s="192">
        <v>2750</v>
      </c>
      <c r="S30" s="189">
        <v>825</v>
      </c>
      <c r="T30" s="189">
        <v>275</v>
      </c>
      <c r="U30" s="189">
        <v>275</v>
      </c>
      <c r="V30" s="189">
        <v>1100</v>
      </c>
      <c r="W30" s="189">
        <v>275</v>
      </c>
      <c r="X30" s="193">
        <v>2750</v>
      </c>
      <c r="Y30" s="194">
        <v>825</v>
      </c>
      <c r="Z30" s="196">
        <v>275</v>
      </c>
      <c r="AA30" s="196">
        <v>275</v>
      </c>
      <c r="AB30" s="196">
        <v>1100</v>
      </c>
      <c r="AC30" s="196">
        <v>275</v>
      </c>
      <c r="AD30" s="197">
        <v>0</v>
      </c>
      <c r="AE30" s="197">
        <v>2750</v>
      </c>
    </row>
    <row r="31" spans="1:31" x14ac:dyDescent="0.25">
      <c r="A31" s="187"/>
      <c r="B31" s="187" t="s">
        <v>39</v>
      </c>
      <c r="C31" s="188">
        <v>16730</v>
      </c>
      <c r="D31" s="189">
        <v>5500</v>
      </c>
      <c r="E31" s="189">
        <v>8400</v>
      </c>
      <c r="F31" s="189">
        <v>1680</v>
      </c>
      <c r="G31" s="189">
        <v>1150</v>
      </c>
      <c r="H31" s="189">
        <v>0</v>
      </c>
      <c r="I31" s="190">
        <v>0.34</v>
      </c>
      <c r="J31" s="191">
        <v>5688.2000000000007</v>
      </c>
      <c r="K31" s="131">
        <v>0</v>
      </c>
      <c r="L31" s="131">
        <v>0</v>
      </c>
      <c r="M31" s="131"/>
      <c r="N31" s="131"/>
      <c r="O31" s="131"/>
      <c r="P31" s="131">
        <v>1616.55</v>
      </c>
      <c r="Q31" s="131"/>
      <c r="R31" s="192">
        <v>7304.7500000000009</v>
      </c>
      <c r="S31" s="189">
        <v>1870.0000000000002</v>
      </c>
      <c r="T31" s="189">
        <v>2856</v>
      </c>
      <c r="U31" s="189">
        <v>571.20000000000005</v>
      </c>
      <c r="V31" s="189">
        <v>391</v>
      </c>
      <c r="W31" s="189">
        <v>0</v>
      </c>
      <c r="X31" s="193">
        <v>5688.2</v>
      </c>
      <c r="Y31" s="194">
        <v>0</v>
      </c>
      <c r="Z31" s="198">
        <v>0</v>
      </c>
      <c r="AA31" s="198">
        <v>0</v>
      </c>
      <c r="AB31" s="198">
        <v>0</v>
      </c>
      <c r="AC31" s="198">
        <v>0</v>
      </c>
      <c r="AD31" s="195">
        <v>0</v>
      </c>
      <c r="AE31" s="195">
        <v>0</v>
      </c>
    </row>
    <row r="32" spans="1:31" x14ac:dyDescent="0.25">
      <c r="A32" s="187"/>
      <c r="B32" s="187" t="s">
        <v>136</v>
      </c>
      <c r="C32" s="188">
        <v>0</v>
      </c>
      <c r="D32" s="189">
        <v>0</v>
      </c>
      <c r="E32" s="189">
        <v>0</v>
      </c>
      <c r="F32" s="189">
        <v>0</v>
      </c>
      <c r="G32" s="189">
        <v>0</v>
      </c>
      <c r="H32" s="189">
        <v>0</v>
      </c>
      <c r="I32" s="190">
        <v>0</v>
      </c>
      <c r="J32" s="191">
        <v>0</v>
      </c>
      <c r="K32" s="131">
        <v>1079</v>
      </c>
      <c r="L32" s="131">
        <v>0</v>
      </c>
      <c r="M32" s="131"/>
      <c r="N32" s="131"/>
      <c r="O32" s="131"/>
      <c r="P32" s="131">
        <v>0</v>
      </c>
      <c r="Q32" s="131"/>
      <c r="R32" s="192">
        <v>1079</v>
      </c>
      <c r="S32" s="189"/>
      <c r="T32" s="189">
        <v>0</v>
      </c>
      <c r="U32" s="189">
        <v>70</v>
      </c>
      <c r="V32" s="189">
        <v>1079</v>
      </c>
      <c r="W32" s="189">
        <v>156</v>
      </c>
      <c r="X32" s="193">
        <v>1305</v>
      </c>
      <c r="Y32" s="194">
        <v>0</v>
      </c>
      <c r="Z32" s="196">
        <v>0</v>
      </c>
      <c r="AA32" s="196">
        <v>0</v>
      </c>
      <c r="AB32" s="196">
        <v>1079</v>
      </c>
      <c r="AC32" s="196">
        <v>0</v>
      </c>
      <c r="AD32" s="197">
        <v>0</v>
      </c>
      <c r="AE32" s="197">
        <v>1079</v>
      </c>
    </row>
    <row r="33" spans="1:31" x14ac:dyDescent="0.25">
      <c r="A33" s="187"/>
      <c r="B33" s="187" t="s">
        <v>137</v>
      </c>
      <c r="C33" s="188">
        <v>66750</v>
      </c>
      <c r="D33" s="189">
        <v>0</v>
      </c>
      <c r="E33" s="189">
        <v>0</v>
      </c>
      <c r="F33" s="189">
        <v>0</v>
      </c>
      <c r="G33" s="189">
        <v>56250</v>
      </c>
      <c r="H33" s="189">
        <v>10500</v>
      </c>
      <c r="I33" s="190">
        <v>0.3</v>
      </c>
      <c r="J33" s="191">
        <v>20025</v>
      </c>
      <c r="K33" s="131">
        <v>3000</v>
      </c>
      <c r="L33" s="131">
        <v>0</v>
      </c>
      <c r="M33" s="131"/>
      <c r="N33" s="131"/>
      <c r="O33" s="131"/>
      <c r="P33" s="131">
        <v>0</v>
      </c>
      <c r="Q33" s="131"/>
      <c r="R33" s="192">
        <v>23025</v>
      </c>
      <c r="S33" s="189">
        <v>0</v>
      </c>
      <c r="T33" s="189">
        <v>0</v>
      </c>
      <c r="U33" s="189">
        <v>0</v>
      </c>
      <c r="V33" s="189">
        <v>18375</v>
      </c>
      <c r="W33" s="189">
        <v>4650</v>
      </c>
      <c r="X33" s="193">
        <v>23025</v>
      </c>
      <c r="Y33" s="194">
        <v>0</v>
      </c>
      <c r="Z33" s="198">
        <v>0</v>
      </c>
      <c r="AA33" s="198">
        <v>0</v>
      </c>
      <c r="AB33" s="198">
        <v>1500</v>
      </c>
      <c r="AC33" s="198">
        <v>1500</v>
      </c>
      <c r="AD33" s="195">
        <v>0</v>
      </c>
      <c r="AE33" s="195">
        <v>3000</v>
      </c>
    </row>
    <row r="34" spans="1:31" x14ac:dyDescent="0.25">
      <c r="A34" s="187"/>
      <c r="B34" s="187" t="s">
        <v>88</v>
      </c>
      <c r="C34" s="188">
        <v>41967</v>
      </c>
      <c r="D34" s="189">
        <v>12600</v>
      </c>
      <c r="E34" s="189">
        <v>9867</v>
      </c>
      <c r="F34" s="189">
        <v>5350</v>
      </c>
      <c r="G34" s="189">
        <v>8950</v>
      </c>
      <c r="H34" s="189">
        <v>5200</v>
      </c>
      <c r="I34" s="190">
        <v>0.24</v>
      </c>
      <c r="J34" s="191">
        <v>10072.08</v>
      </c>
      <c r="K34" s="131">
        <v>200</v>
      </c>
      <c r="L34" s="131">
        <v>0</v>
      </c>
      <c r="M34" s="131"/>
      <c r="N34" s="131"/>
      <c r="O34" s="131"/>
      <c r="P34" s="131">
        <v>0</v>
      </c>
      <c r="Q34" s="131"/>
      <c r="R34" s="192">
        <v>10272.08</v>
      </c>
      <c r="S34" s="189">
        <v>3124</v>
      </c>
      <c r="T34" s="189">
        <v>2368.08</v>
      </c>
      <c r="U34" s="189">
        <v>1284</v>
      </c>
      <c r="V34" s="189">
        <v>2148</v>
      </c>
      <c r="W34" s="189">
        <v>1348</v>
      </c>
      <c r="X34" s="193">
        <v>10272.08</v>
      </c>
      <c r="Y34" s="194">
        <v>100</v>
      </c>
      <c r="Z34" s="196">
        <v>0</v>
      </c>
      <c r="AA34" s="196">
        <v>0</v>
      </c>
      <c r="AB34" s="196">
        <v>0</v>
      </c>
      <c r="AC34" s="196">
        <v>100</v>
      </c>
      <c r="AD34" s="197">
        <v>0</v>
      </c>
      <c r="AE34" s="197">
        <v>200</v>
      </c>
    </row>
    <row r="35" spans="1:31" x14ac:dyDescent="0.25">
      <c r="A35" s="187"/>
      <c r="B35" s="187" t="s">
        <v>138</v>
      </c>
      <c r="C35" s="188">
        <v>0</v>
      </c>
      <c r="D35" s="189">
        <v>0</v>
      </c>
      <c r="E35" s="189">
        <v>0</v>
      </c>
      <c r="F35" s="189">
        <v>0</v>
      </c>
      <c r="G35" s="189">
        <v>0</v>
      </c>
      <c r="H35" s="189">
        <v>0</v>
      </c>
      <c r="I35" s="190">
        <v>0.24</v>
      </c>
      <c r="J35" s="191">
        <v>0</v>
      </c>
      <c r="K35" s="131">
        <v>0</v>
      </c>
      <c r="L35" s="131">
        <v>0</v>
      </c>
      <c r="M35" s="131"/>
      <c r="N35" s="131"/>
      <c r="O35" s="131"/>
      <c r="P35" s="131">
        <v>0</v>
      </c>
      <c r="Q35" s="131"/>
      <c r="R35" s="192">
        <v>0</v>
      </c>
      <c r="S35" s="189">
        <v>0</v>
      </c>
      <c r="T35" s="189">
        <v>0</v>
      </c>
      <c r="U35" s="189">
        <v>0</v>
      </c>
      <c r="V35" s="189">
        <v>0</v>
      </c>
      <c r="W35" s="189">
        <v>0</v>
      </c>
      <c r="X35" s="193">
        <v>0</v>
      </c>
      <c r="Y35" s="194">
        <v>0</v>
      </c>
      <c r="Z35" s="198">
        <v>0</v>
      </c>
      <c r="AA35" s="198">
        <v>0</v>
      </c>
      <c r="AB35" s="198">
        <v>0</v>
      </c>
      <c r="AC35" s="198">
        <v>0</v>
      </c>
      <c r="AD35" s="195">
        <v>0</v>
      </c>
      <c r="AE35" s="195">
        <v>0</v>
      </c>
    </row>
    <row r="36" spans="1:31" x14ac:dyDescent="0.25">
      <c r="A36" s="187"/>
      <c r="B36" s="187" t="s">
        <v>43</v>
      </c>
      <c r="C36" s="188">
        <v>99450</v>
      </c>
      <c r="D36" s="189">
        <v>99450</v>
      </c>
      <c r="E36" s="189">
        <v>0</v>
      </c>
      <c r="F36" s="189">
        <v>0</v>
      </c>
      <c r="G36" s="189">
        <v>0</v>
      </c>
      <c r="H36" s="189">
        <v>0</v>
      </c>
      <c r="I36" s="190">
        <v>0.32</v>
      </c>
      <c r="J36" s="191">
        <v>31824</v>
      </c>
      <c r="K36" s="131">
        <v>3600</v>
      </c>
      <c r="L36" s="131">
        <v>0</v>
      </c>
      <c r="M36" s="131"/>
      <c r="N36" s="131"/>
      <c r="O36" s="131"/>
      <c r="P36" s="131">
        <v>0</v>
      </c>
      <c r="Q36" s="131"/>
      <c r="R36" s="192">
        <v>35424</v>
      </c>
      <c r="S36" s="189">
        <v>35424</v>
      </c>
      <c r="T36" s="189">
        <v>0</v>
      </c>
      <c r="U36" s="189">
        <v>0</v>
      </c>
      <c r="V36" s="189">
        <v>0</v>
      </c>
      <c r="W36" s="189">
        <v>0</v>
      </c>
      <c r="X36" s="193">
        <v>35424</v>
      </c>
      <c r="Y36" s="194">
        <v>3600</v>
      </c>
      <c r="Z36" s="196">
        <v>0</v>
      </c>
      <c r="AA36" s="196">
        <v>0</v>
      </c>
      <c r="AB36" s="196">
        <v>0</v>
      </c>
      <c r="AC36" s="196">
        <v>0</v>
      </c>
      <c r="AD36" s="197">
        <v>0</v>
      </c>
      <c r="AE36" s="197">
        <v>3600</v>
      </c>
    </row>
    <row r="37" spans="1:31" x14ac:dyDescent="0.25">
      <c r="A37" s="187"/>
      <c r="B37" s="187" t="s">
        <v>139</v>
      </c>
      <c r="C37" s="188">
        <v>100889</v>
      </c>
      <c r="D37" s="189">
        <v>46391</v>
      </c>
      <c r="E37" s="189">
        <v>7999</v>
      </c>
      <c r="F37" s="189">
        <v>0</v>
      </c>
      <c r="G37" s="189">
        <v>46499</v>
      </c>
      <c r="H37" s="189">
        <v>0</v>
      </c>
      <c r="I37" s="190">
        <v>0.05</v>
      </c>
      <c r="J37" s="191">
        <v>5044.4500000000007</v>
      </c>
      <c r="K37" s="131">
        <v>2750</v>
      </c>
      <c r="L37" s="131">
        <v>0</v>
      </c>
      <c r="M37" s="131"/>
      <c r="N37" s="131"/>
      <c r="O37" s="131"/>
      <c r="P37" s="131">
        <v>0</v>
      </c>
      <c r="Q37" s="131"/>
      <c r="R37" s="192">
        <v>7794.4500000000007</v>
      </c>
      <c r="S37" s="189">
        <v>3144.55</v>
      </c>
      <c r="T37" s="189">
        <v>674.95</v>
      </c>
      <c r="U37" s="189">
        <v>275</v>
      </c>
      <c r="V37" s="189">
        <v>3424.9500000000003</v>
      </c>
      <c r="W37" s="189">
        <v>366.42</v>
      </c>
      <c r="X37" s="193">
        <v>7885.8700000000008</v>
      </c>
      <c r="Y37" s="194">
        <v>825</v>
      </c>
      <c r="Z37" s="199">
        <v>275</v>
      </c>
      <c r="AA37" s="199">
        <v>275</v>
      </c>
      <c r="AB37" s="199">
        <v>1100</v>
      </c>
      <c r="AC37" s="199">
        <v>275</v>
      </c>
      <c r="AD37" s="200">
        <v>0</v>
      </c>
      <c r="AE37" s="200">
        <v>2750</v>
      </c>
    </row>
    <row r="38" spans="1:31" x14ac:dyDescent="0.25">
      <c r="A38" s="187"/>
      <c r="B38" s="187" t="s">
        <v>47</v>
      </c>
      <c r="C38" s="188">
        <v>55450</v>
      </c>
      <c r="D38" s="189">
        <v>40300</v>
      </c>
      <c r="E38" s="189">
        <v>2950</v>
      </c>
      <c r="F38" s="189">
        <v>1950</v>
      </c>
      <c r="G38" s="189">
        <v>0</v>
      </c>
      <c r="H38" s="189">
        <v>10250</v>
      </c>
      <c r="I38" s="190">
        <v>0.32</v>
      </c>
      <c r="J38" s="191">
        <v>17744</v>
      </c>
      <c r="K38" s="131">
        <v>5300</v>
      </c>
      <c r="L38" s="131">
        <v>0</v>
      </c>
      <c r="M38" s="131"/>
      <c r="N38" s="131"/>
      <c r="O38" s="131"/>
      <c r="P38" s="131">
        <v>0</v>
      </c>
      <c r="Q38" s="131"/>
      <c r="R38" s="192">
        <v>23044</v>
      </c>
      <c r="S38" s="189">
        <v>17196</v>
      </c>
      <c r="T38" s="189">
        <v>944</v>
      </c>
      <c r="U38" s="189">
        <v>624</v>
      </c>
      <c r="V38" s="189">
        <v>600</v>
      </c>
      <c r="W38" s="189">
        <v>3680</v>
      </c>
      <c r="X38" s="193">
        <v>23044</v>
      </c>
      <c r="Y38" s="194">
        <v>4300</v>
      </c>
      <c r="Z38" s="196">
        <v>0</v>
      </c>
      <c r="AA38" s="196">
        <v>0</v>
      </c>
      <c r="AB38" s="196">
        <v>600</v>
      </c>
      <c r="AC38" s="196">
        <v>400</v>
      </c>
      <c r="AD38" s="197">
        <v>0</v>
      </c>
      <c r="AE38" s="197">
        <v>5300</v>
      </c>
    </row>
    <row r="39" spans="1:31" x14ac:dyDescent="0.25">
      <c r="A39" s="187"/>
      <c r="B39" s="187" t="s">
        <v>140</v>
      </c>
      <c r="C39" s="188">
        <v>0</v>
      </c>
      <c r="D39" s="189">
        <v>0</v>
      </c>
      <c r="E39" s="189">
        <v>0</v>
      </c>
      <c r="F39" s="189">
        <v>0</v>
      </c>
      <c r="G39" s="189">
        <v>0</v>
      </c>
      <c r="H39" s="189">
        <v>0</v>
      </c>
      <c r="I39" s="190">
        <v>0</v>
      </c>
      <c r="J39" s="191">
        <v>0</v>
      </c>
      <c r="K39" s="189">
        <v>1750</v>
      </c>
      <c r="L39" s="131">
        <v>0</v>
      </c>
      <c r="M39" s="189"/>
      <c r="N39" s="189"/>
      <c r="O39" s="189"/>
      <c r="P39" s="189">
        <v>0</v>
      </c>
      <c r="Q39" s="131"/>
      <c r="R39" s="192">
        <v>1750</v>
      </c>
      <c r="S39" s="189">
        <v>350</v>
      </c>
      <c r="T39" s="189">
        <v>350</v>
      </c>
      <c r="U39" s="189">
        <v>350</v>
      </c>
      <c r="V39" s="189">
        <v>350</v>
      </c>
      <c r="W39" s="189">
        <v>350</v>
      </c>
      <c r="X39" s="193">
        <v>1750</v>
      </c>
      <c r="Y39" s="194">
        <v>350</v>
      </c>
      <c r="Z39" s="196">
        <v>350</v>
      </c>
      <c r="AA39" s="196">
        <v>350</v>
      </c>
      <c r="AB39" s="196">
        <v>350</v>
      </c>
      <c r="AC39" s="196">
        <v>350</v>
      </c>
      <c r="AD39" s="197">
        <v>0</v>
      </c>
      <c r="AE39" s="197">
        <v>1750</v>
      </c>
    </row>
    <row r="40" spans="1:31" x14ac:dyDescent="0.25">
      <c r="A40" s="187"/>
      <c r="B40" s="187" t="s">
        <v>87</v>
      </c>
      <c r="C40" s="188">
        <v>31392</v>
      </c>
      <c r="D40" s="189">
        <v>0</v>
      </c>
      <c r="E40" s="189">
        <v>31392</v>
      </c>
      <c r="F40" s="189">
        <v>0</v>
      </c>
      <c r="G40" s="189">
        <v>0</v>
      </c>
      <c r="H40" s="189">
        <v>0</v>
      </c>
      <c r="I40" s="190">
        <v>0.24</v>
      </c>
      <c r="J40" s="191">
        <v>7534.08</v>
      </c>
      <c r="K40" s="131">
        <v>500</v>
      </c>
      <c r="L40" s="131">
        <v>0</v>
      </c>
      <c r="M40" s="131"/>
      <c r="N40" s="131"/>
      <c r="O40" s="189"/>
      <c r="P40" s="131">
        <v>0</v>
      </c>
      <c r="Q40" s="131"/>
      <c r="R40" s="192">
        <v>8034.08</v>
      </c>
      <c r="S40" s="189">
        <v>100</v>
      </c>
      <c r="T40" s="189">
        <v>7934.08</v>
      </c>
      <c r="U40" s="189">
        <v>0</v>
      </c>
      <c r="V40" s="189">
        <v>0</v>
      </c>
      <c r="W40" s="189">
        <v>0</v>
      </c>
      <c r="X40" s="193">
        <v>8034.08</v>
      </c>
      <c r="Y40" s="194">
        <v>100</v>
      </c>
      <c r="Z40" s="198">
        <v>400</v>
      </c>
      <c r="AA40" s="198">
        <v>0</v>
      </c>
      <c r="AB40" s="198">
        <v>0</v>
      </c>
      <c r="AC40" s="198">
        <v>0</v>
      </c>
      <c r="AD40" s="195">
        <v>0</v>
      </c>
      <c r="AE40" s="195">
        <v>500</v>
      </c>
    </row>
    <row r="41" spans="1:31" x14ac:dyDescent="0.25">
      <c r="A41" s="187"/>
      <c r="B41" s="187" t="s">
        <v>141</v>
      </c>
      <c r="C41" s="188">
        <v>8330</v>
      </c>
      <c r="D41" s="189">
        <v>0</v>
      </c>
      <c r="E41" s="189">
        <v>0</v>
      </c>
      <c r="F41" s="189">
        <v>4180</v>
      </c>
      <c r="G41" s="189">
        <v>4150</v>
      </c>
      <c r="H41" s="189">
        <v>0</v>
      </c>
      <c r="I41" s="190">
        <v>0</v>
      </c>
      <c r="J41" s="191">
        <v>1999.1999999999998</v>
      </c>
      <c r="K41" s="131">
        <v>1850</v>
      </c>
      <c r="L41" s="131">
        <v>0</v>
      </c>
      <c r="M41" s="131"/>
      <c r="N41" s="131"/>
      <c r="O41" s="131"/>
      <c r="P41" s="131">
        <v>0</v>
      </c>
      <c r="Q41" s="131"/>
      <c r="R41" s="192">
        <v>3849.2</v>
      </c>
      <c r="S41" s="189">
        <v>100</v>
      </c>
      <c r="T41" s="189">
        <v>0</v>
      </c>
      <c r="U41" s="189">
        <v>200</v>
      </c>
      <c r="V41" s="189">
        <v>0</v>
      </c>
      <c r="W41" s="189">
        <v>1550</v>
      </c>
      <c r="X41" s="193">
        <v>3849.2</v>
      </c>
      <c r="Y41" s="194">
        <v>100</v>
      </c>
      <c r="Z41" s="201">
        <v>0</v>
      </c>
      <c r="AA41" s="201">
        <v>200</v>
      </c>
      <c r="AB41" s="201">
        <v>0</v>
      </c>
      <c r="AC41" s="201">
        <v>1550</v>
      </c>
      <c r="AD41" s="202">
        <v>0</v>
      </c>
      <c r="AE41" s="202">
        <v>1850</v>
      </c>
    </row>
    <row r="42" spans="1:31" x14ac:dyDescent="0.25">
      <c r="A42" s="187"/>
      <c r="B42" s="187"/>
      <c r="C42" s="188">
        <v>0</v>
      </c>
      <c r="D42" s="189">
        <v>0</v>
      </c>
      <c r="E42" s="189">
        <v>0</v>
      </c>
      <c r="F42" s="189">
        <v>0</v>
      </c>
      <c r="G42" s="189">
        <v>0</v>
      </c>
      <c r="H42" s="189">
        <v>0</v>
      </c>
      <c r="I42" s="190">
        <v>0</v>
      </c>
      <c r="J42" s="191">
        <v>0</v>
      </c>
      <c r="K42" s="131">
        <v>1635</v>
      </c>
      <c r="L42" s="131">
        <v>0</v>
      </c>
      <c r="M42" s="131"/>
      <c r="N42" s="131"/>
      <c r="O42" s="131"/>
      <c r="P42" s="131">
        <v>0</v>
      </c>
      <c r="Q42" s="131"/>
      <c r="R42" s="192">
        <v>1635</v>
      </c>
      <c r="S42" s="189">
        <v>0</v>
      </c>
      <c r="T42" s="189">
        <v>0</v>
      </c>
      <c r="U42" s="189">
        <v>0</v>
      </c>
      <c r="V42" s="189">
        <v>1635</v>
      </c>
      <c r="W42" s="189">
        <v>0</v>
      </c>
      <c r="X42" s="193">
        <v>1635</v>
      </c>
      <c r="Y42" s="194">
        <v>0</v>
      </c>
      <c r="Z42" s="198">
        <v>0</v>
      </c>
      <c r="AA42" s="198">
        <v>0</v>
      </c>
      <c r="AB42" s="198">
        <v>1635</v>
      </c>
      <c r="AC42" s="198">
        <v>0</v>
      </c>
      <c r="AD42" s="195">
        <v>0</v>
      </c>
      <c r="AE42" s="195">
        <v>1635</v>
      </c>
    </row>
  </sheetData>
  <mergeCells count="2">
    <mergeCell ref="S1:W1"/>
    <mergeCell ref="Y1:AE1"/>
  </mergeCells>
  <conditionalFormatting sqref="B4:B35">
    <cfRule type="duplicateValues" dxfId="8" priority="7"/>
  </conditionalFormatting>
  <conditionalFormatting sqref="C4:C42">
    <cfRule type="cellIs" dxfId="7" priority="4" operator="greaterThan">
      <formula>159999.99</formula>
    </cfRule>
    <cfRule type="cellIs" dxfId="6" priority="5" operator="greaterThan">
      <formula>119999.99</formula>
    </cfRule>
    <cfRule type="cellIs" dxfId="5" priority="6" operator="greaterThan">
      <formula>79999.99</formula>
    </cfRule>
  </conditionalFormatting>
  <conditionalFormatting sqref="A4:A35">
    <cfRule type="duplicateValues" dxfId="4" priority="1"/>
  </conditionalFormatting>
  <conditionalFormatting sqref="B36:B42">
    <cfRule type="duplicateValues" dxfId="3" priority="16"/>
  </conditionalFormatting>
  <conditionalFormatting sqref="B4:B42">
    <cfRule type="duplicateValues" dxfId="2" priority="18"/>
  </conditionalFormatting>
  <conditionalFormatting sqref="A36:A42">
    <cfRule type="duplicateValues" dxfId="1" priority="20"/>
  </conditionalFormatting>
  <conditionalFormatting sqref="A4:A42">
    <cfRule type="duplicateValues" dxfId="0" priority="2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6549A-11E7-40A2-AF49-F905DFF5F91D}">
  <dimension ref="A3:N31"/>
  <sheetViews>
    <sheetView showGridLines="0" workbookViewId="0">
      <selection activeCell="F14" sqref="F14"/>
    </sheetView>
  </sheetViews>
  <sheetFormatPr baseColWidth="10" defaultRowHeight="15" x14ac:dyDescent="0.25"/>
  <cols>
    <col min="5" max="5" width="17.140625" bestFit="1" customWidth="1"/>
    <col min="6" max="6" width="21.42578125" bestFit="1" customWidth="1"/>
    <col min="7" max="7" width="21.42578125" customWidth="1"/>
    <col min="8" max="8" width="20.42578125" bestFit="1" customWidth="1"/>
    <col min="9" max="9" width="15.85546875" bestFit="1" customWidth="1"/>
    <col min="10" max="10" width="17.28515625" bestFit="1" customWidth="1"/>
    <col min="11" max="11" width="17.28515625" customWidth="1"/>
    <col min="12" max="12" width="15.42578125" bestFit="1" customWidth="1"/>
    <col min="13" max="13" width="16.7109375" bestFit="1" customWidth="1"/>
    <col min="14" max="14" width="64.28515625" bestFit="1" customWidth="1"/>
  </cols>
  <sheetData>
    <row r="3" spans="1:14" x14ac:dyDescent="0.25">
      <c r="A3" s="152" t="s">
        <v>187</v>
      </c>
      <c r="B3" s="152"/>
      <c r="C3" s="152"/>
      <c r="D3" s="152"/>
    </row>
    <row r="4" spans="1:14" x14ac:dyDescent="0.25">
      <c r="A4" s="152"/>
      <c r="B4" s="152"/>
      <c r="C4" s="152"/>
      <c r="D4" s="152"/>
      <c r="E4" t="s">
        <v>181</v>
      </c>
      <c r="F4" t="s">
        <v>196</v>
      </c>
      <c r="G4" t="s">
        <v>188</v>
      </c>
      <c r="H4" t="s">
        <v>174</v>
      </c>
      <c r="I4" t="s">
        <v>175</v>
      </c>
      <c r="J4" t="s">
        <v>176</v>
      </c>
      <c r="K4" t="s">
        <v>180</v>
      </c>
      <c r="L4" t="s">
        <v>177</v>
      </c>
      <c r="M4" t="s">
        <v>178</v>
      </c>
      <c r="N4" t="s">
        <v>182</v>
      </c>
    </row>
    <row r="5" spans="1:14" x14ac:dyDescent="0.25">
      <c r="A5" s="152"/>
      <c r="B5" s="152"/>
      <c r="C5" s="152"/>
      <c r="D5" s="152"/>
    </row>
    <row r="6" spans="1:14" x14ac:dyDescent="0.25">
      <c r="A6" s="152"/>
      <c r="B6" s="152"/>
      <c r="C6" s="152"/>
      <c r="D6" s="152"/>
      <c r="E6" s="156">
        <v>45058</v>
      </c>
      <c r="G6" t="s">
        <v>189</v>
      </c>
      <c r="H6" t="s">
        <v>179</v>
      </c>
      <c r="I6">
        <v>5000</v>
      </c>
      <c r="J6">
        <v>5</v>
      </c>
      <c r="K6">
        <v>1000</v>
      </c>
      <c r="L6">
        <f>+SUM(K7:K8)</f>
        <v>2000</v>
      </c>
      <c r="M6" s="159">
        <f>+L6-I6</f>
        <v>-3000</v>
      </c>
      <c r="N6" t="s">
        <v>183</v>
      </c>
    </row>
    <row r="7" spans="1:14" x14ac:dyDescent="0.25">
      <c r="A7" s="152"/>
      <c r="B7" s="152"/>
      <c r="C7" s="152"/>
      <c r="D7" s="152"/>
      <c r="F7" s="157" t="s">
        <v>197</v>
      </c>
      <c r="G7" t="s">
        <v>189</v>
      </c>
      <c r="H7" t="s">
        <v>179</v>
      </c>
      <c r="J7">
        <v>1</v>
      </c>
      <c r="K7">
        <v>1000</v>
      </c>
      <c r="L7">
        <v>1000</v>
      </c>
    </row>
    <row r="8" spans="1:14" x14ac:dyDescent="0.25">
      <c r="A8" s="152"/>
      <c r="B8" s="152"/>
      <c r="C8" s="152"/>
      <c r="D8" s="152"/>
      <c r="F8" s="157" t="s">
        <v>197</v>
      </c>
      <c r="G8" t="s">
        <v>189</v>
      </c>
      <c r="H8" t="s">
        <v>179</v>
      </c>
      <c r="J8">
        <v>2</v>
      </c>
      <c r="K8">
        <v>1000</v>
      </c>
      <c r="L8">
        <v>1000</v>
      </c>
      <c r="N8" t="s">
        <v>184</v>
      </c>
    </row>
    <row r="9" spans="1:14" x14ac:dyDescent="0.25">
      <c r="A9" s="152"/>
      <c r="B9" s="152"/>
      <c r="C9" s="152"/>
      <c r="D9" s="152"/>
      <c r="N9" t="s">
        <v>185</v>
      </c>
    </row>
    <row r="10" spans="1:14" x14ac:dyDescent="0.25">
      <c r="A10" s="152"/>
      <c r="B10" s="152"/>
      <c r="C10" s="152"/>
      <c r="D10" s="152"/>
      <c r="N10" t="s">
        <v>186</v>
      </c>
    </row>
    <row r="11" spans="1:14" x14ac:dyDescent="0.25">
      <c r="A11" s="152"/>
      <c r="B11" s="152"/>
      <c r="C11" s="152"/>
      <c r="D11" s="152"/>
    </row>
    <row r="12" spans="1:14" x14ac:dyDescent="0.25">
      <c r="A12" s="152"/>
      <c r="B12" s="152"/>
      <c r="C12" s="152"/>
      <c r="D12" s="152"/>
      <c r="E12" s="156">
        <v>45058</v>
      </c>
      <c r="G12" t="s">
        <v>190</v>
      </c>
      <c r="H12" t="s">
        <v>179</v>
      </c>
      <c r="I12">
        <v>1500</v>
      </c>
      <c r="J12">
        <v>3</v>
      </c>
      <c r="K12">
        <v>500</v>
      </c>
      <c r="L12">
        <f>+SUM(K13:K15)</f>
        <v>1500</v>
      </c>
      <c r="M12" s="158">
        <f>+L12-I12</f>
        <v>0</v>
      </c>
      <c r="N12" t="s">
        <v>191</v>
      </c>
    </row>
    <row r="13" spans="1:14" x14ac:dyDescent="0.25">
      <c r="A13" s="152"/>
      <c r="B13" s="152"/>
      <c r="C13" s="152"/>
      <c r="D13" s="152"/>
      <c r="F13" s="157" t="s">
        <v>197</v>
      </c>
      <c r="G13" t="s">
        <v>190</v>
      </c>
      <c r="H13" t="s">
        <v>179</v>
      </c>
      <c r="J13">
        <v>1</v>
      </c>
      <c r="K13">
        <v>500</v>
      </c>
      <c r="L13">
        <v>500</v>
      </c>
    </row>
    <row r="14" spans="1:14" x14ac:dyDescent="0.25">
      <c r="A14" s="152"/>
      <c r="B14" s="152"/>
      <c r="C14" s="152"/>
      <c r="D14" s="152"/>
      <c r="F14" s="157" t="s">
        <v>197</v>
      </c>
      <c r="G14" t="s">
        <v>190</v>
      </c>
      <c r="H14" t="s">
        <v>179</v>
      </c>
      <c r="J14">
        <v>2</v>
      </c>
      <c r="K14">
        <v>500</v>
      </c>
      <c r="L14">
        <v>500</v>
      </c>
    </row>
    <row r="15" spans="1:14" x14ac:dyDescent="0.25">
      <c r="A15" s="152"/>
      <c r="B15" s="152"/>
      <c r="C15" s="152"/>
      <c r="D15" s="152"/>
      <c r="F15" s="157" t="s">
        <v>197</v>
      </c>
      <c r="G15" t="s">
        <v>190</v>
      </c>
      <c r="H15" t="s">
        <v>179</v>
      </c>
      <c r="J15">
        <v>3</v>
      </c>
      <c r="K15">
        <v>500</v>
      </c>
      <c r="L15">
        <v>500</v>
      </c>
    </row>
    <row r="30" spans="10:13" x14ac:dyDescent="0.25">
      <c r="K30" t="s">
        <v>195</v>
      </c>
      <c r="L30" t="s">
        <v>193</v>
      </c>
      <c r="M30" t="s">
        <v>194</v>
      </c>
    </row>
    <row r="31" spans="10:13" x14ac:dyDescent="0.25">
      <c r="J31" t="s">
        <v>192</v>
      </c>
      <c r="K31">
        <f>+I6+I12</f>
        <v>6500</v>
      </c>
      <c r="L31">
        <v>3500</v>
      </c>
      <c r="M31">
        <f>+L31-K31</f>
        <v>-3000</v>
      </c>
    </row>
  </sheetData>
  <mergeCells count="1">
    <mergeCell ref="A3:D1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F396F-48C1-430E-AFB7-3440C2518777}">
  <dimension ref="A2:K30"/>
  <sheetViews>
    <sheetView showGridLines="0" tabSelected="1" workbookViewId="0">
      <selection activeCell="A4" sqref="A4:E30"/>
    </sheetView>
  </sheetViews>
  <sheetFormatPr baseColWidth="10" defaultRowHeight="15" x14ac:dyDescent="0.25"/>
  <sheetData>
    <row r="2" spans="1:11" x14ac:dyDescent="0.25">
      <c r="G2" t="s">
        <v>75</v>
      </c>
    </row>
    <row r="4" spans="1:11" x14ac:dyDescent="0.25">
      <c r="A4" s="86" t="s">
        <v>73</v>
      </c>
      <c r="B4" s="86"/>
      <c r="C4" s="86"/>
      <c r="D4" s="86"/>
      <c r="E4" s="86"/>
    </row>
    <row r="5" spans="1:11" x14ac:dyDescent="0.25">
      <c r="A5" s="86"/>
      <c r="B5" s="86"/>
      <c r="C5" s="86"/>
      <c r="D5" s="86"/>
      <c r="E5" s="86"/>
      <c r="G5" s="49" t="s">
        <v>76</v>
      </c>
      <c r="H5" s="49"/>
      <c r="I5" s="49"/>
      <c r="J5" s="49"/>
    </row>
    <row r="6" spans="1:11" x14ac:dyDescent="0.25">
      <c r="A6" s="86"/>
      <c r="B6" s="86"/>
      <c r="C6" s="86"/>
      <c r="D6" s="86"/>
      <c r="E6" s="86"/>
    </row>
    <row r="7" spans="1:11" x14ac:dyDescent="0.25">
      <c r="A7" s="86"/>
      <c r="B7" s="86"/>
      <c r="C7" s="86"/>
      <c r="D7" s="86"/>
      <c r="E7" s="86"/>
    </row>
    <row r="8" spans="1:11" x14ac:dyDescent="0.25">
      <c r="A8" s="86"/>
      <c r="B8" s="86"/>
      <c r="C8" s="86"/>
      <c r="D8" s="86"/>
      <c r="E8" s="86"/>
    </row>
    <row r="9" spans="1:11" x14ac:dyDescent="0.25">
      <c r="A9" s="86"/>
      <c r="B9" s="86"/>
      <c r="C9" s="86"/>
      <c r="D9" s="86"/>
      <c r="E9" s="86"/>
      <c r="G9" s="50" t="s">
        <v>77</v>
      </c>
      <c r="H9" s="50"/>
      <c r="I9" s="50"/>
      <c r="J9" s="50"/>
      <c r="K9" s="50"/>
    </row>
    <row r="10" spans="1:11" x14ac:dyDescent="0.25">
      <c r="A10" s="86"/>
      <c r="B10" s="86"/>
      <c r="C10" s="86"/>
      <c r="D10" s="86"/>
      <c r="E10" s="86"/>
      <c r="G10" s="50"/>
      <c r="H10" s="50"/>
      <c r="I10" s="50"/>
      <c r="J10" s="50"/>
      <c r="K10" s="50"/>
    </row>
    <row r="11" spans="1:11" x14ac:dyDescent="0.25">
      <c r="A11" s="86"/>
      <c r="B11" s="86"/>
      <c r="C11" s="86"/>
      <c r="D11" s="86"/>
      <c r="E11" s="86"/>
      <c r="G11" s="50"/>
      <c r="H11" s="50"/>
      <c r="I11" s="50"/>
      <c r="J11" s="50"/>
      <c r="K11" s="50"/>
    </row>
    <row r="12" spans="1:11" x14ac:dyDescent="0.25">
      <c r="A12" s="86"/>
      <c r="B12" s="86"/>
      <c r="C12" s="86"/>
      <c r="D12" s="86"/>
      <c r="E12" s="86"/>
      <c r="G12" s="50"/>
      <c r="H12" s="50"/>
      <c r="I12" s="50"/>
      <c r="J12" s="50"/>
      <c r="K12" s="50"/>
    </row>
    <row r="13" spans="1:11" x14ac:dyDescent="0.25">
      <c r="A13" s="86"/>
      <c r="B13" s="86"/>
      <c r="C13" s="86"/>
      <c r="D13" s="86"/>
      <c r="E13" s="86"/>
      <c r="G13" s="50"/>
      <c r="H13" s="50"/>
      <c r="I13" s="50"/>
      <c r="J13" s="50"/>
      <c r="K13" s="50"/>
    </row>
    <row r="14" spans="1:11" x14ac:dyDescent="0.25">
      <c r="A14" s="86"/>
      <c r="B14" s="86"/>
      <c r="C14" s="86"/>
      <c r="D14" s="86"/>
      <c r="E14" s="86"/>
    </row>
    <row r="15" spans="1:11" x14ac:dyDescent="0.25">
      <c r="A15" s="86"/>
      <c r="B15" s="86"/>
      <c r="C15" s="86"/>
      <c r="D15" s="86"/>
      <c r="E15" s="86"/>
    </row>
    <row r="16" spans="1:11" x14ac:dyDescent="0.25">
      <c r="A16" s="86"/>
      <c r="B16" s="86"/>
      <c r="C16" s="86"/>
      <c r="D16" s="86"/>
      <c r="E16" s="86"/>
    </row>
    <row r="17" spans="1:10" x14ac:dyDescent="0.25">
      <c r="A17" s="86"/>
      <c r="B17" s="86"/>
      <c r="C17" s="86"/>
      <c r="D17" s="86"/>
      <c r="E17" s="86"/>
      <c r="G17" s="49" t="s">
        <v>74</v>
      </c>
      <c r="H17" s="49"/>
      <c r="I17" s="49"/>
      <c r="J17" s="49"/>
    </row>
    <row r="18" spans="1:10" x14ac:dyDescent="0.25">
      <c r="A18" s="86"/>
      <c r="B18" s="86"/>
      <c r="C18" s="86"/>
      <c r="D18" s="86"/>
      <c r="E18" s="86"/>
    </row>
    <row r="19" spans="1:10" x14ac:dyDescent="0.25">
      <c r="A19" s="86"/>
      <c r="B19" s="86"/>
      <c r="C19" s="86"/>
      <c r="D19" s="86"/>
      <c r="E19" s="86"/>
      <c r="G19" s="49" t="s">
        <v>74</v>
      </c>
      <c r="H19" s="49"/>
      <c r="I19" s="49"/>
      <c r="J19" s="49"/>
    </row>
    <row r="20" spans="1:10" x14ac:dyDescent="0.25">
      <c r="A20" s="86"/>
      <c r="B20" s="86"/>
      <c r="C20" s="86"/>
      <c r="D20" s="86"/>
      <c r="E20" s="86"/>
    </row>
    <row r="21" spans="1:10" x14ac:dyDescent="0.25">
      <c r="A21" s="86"/>
      <c r="B21" s="86"/>
      <c r="C21" s="86"/>
      <c r="D21" s="86"/>
      <c r="E21" s="86"/>
    </row>
    <row r="22" spans="1:10" x14ac:dyDescent="0.25">
      <c r="A22" s="86"/>
      <c r="B22" s="86"/>
      <c r="C22" s="86"/>
      <c r="D22" s="86"/>
      <c r="E22" s="86"/>
    </row>
    <row r="23" spans="1:10" x14ac:dyDescent="0.25">
      <c r="A23" s="86"/>
      <c r="B23" s="86"/>
      <c r="C23" s="86"/>
      <c r="D23" s="86"/>
      <c r="E23" s="86"/>
    </row>
    <row r="24" spans="1:10" x14ac:dyDescent="0.25">
      <c r="A24" s="86"/>
      <c r="B24" s="86"/>
      <c r="C24" s="86"/>
      <c r="D24" s="86"/>
      <c r="E24" s="86"/>
    </row>
    <row r="25" spans="1:10" x14ac:dyDescent="0.25">
      <c r="A25" s="86"/>
      <c r="B25" s="86"/>
      <c r="C25" s="86"/>
      <c r="D25" s="86"/>
      <c r="E25" s="86"/>
    </row>
    <row r="26" spans="1:10" x14ac:dyDescent="0.25">
      <c r="A26" s="86"/>
      <c r="B26" s="86"/>
      <c r="C26" s="86"/>
      <c r="D26" s="86"/>
      <c r="E26" s="86"/>
    </row>
    <row r="27" spans="1:10" x14ac:dyDescent="0.25">
      <c r="A27" s="86"/>
      <c r="B27" s="86"/>
      <c r="C27" s="86"/>
      <c r="D27" s="86"/>
      <c r="E27" s="86"/>
    </row>
    <row r="28" spans="1:10" x14ac:dyDescent="0.25">
      <c r="A28" s="86"/>
      <c r="B28" s="86"/>
      <c r="C28" s="86"/>
      <c r="D28" s="86"/>
      <c r="E28" s="86"/>
    </row>
    <row r="29" spans="1:10" x14ac:dyDescent="0.25">
      <c r="A29" s="86"/>
      <c r="B29" s="86"/>
      <c r="C29" s="86"/>
      <c r="D29" s="86"/>
      <c r="E29" s="86"/>
    </row>
    <row r="30" spans="1:10" x14ac:dyDescent="0.25">
      <c r="A30" s="86"/>
      <c r="B30" s="86"/>
      <c r="C30" s="86"/>
      <c r="D30" s="86"/>
      <c r="E30" s="86"/>
    </row>
  </sheetData>
  <mergeCells count="5">
    <mergeCell ref="A4:E30"/>
    <mergeCell ref="G17:J17"/>
    <mergeCell ref="G19:J19"/>
    <mergeCell ref="G5:J5"/>
    <mergeCell ref="G9:K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pantalla de bonos</vt:lpstr>
      <vt:lpstr>pantalla de esquemas</vt:lpstr>
      <vt:lpstr>PANTALLA SUMARY</vt:lpstr>
      <vt:lpstr>payroll breakdown</vt:lpstr>
      <vt:lpstr>panatalla prestamos-adelantos</vt:lpstr>
      <vt:lpstr>pantalla de recibos</vt:lpstr>
      <vt:lpstr>'PANTALLA SUMARY'!Área_de_impresión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OPATRA</dc:creator>
  <cp:lastModifiedBy>OPATRA</cp:lastModifiedBy>
  <dcterms:created xsi:type="dcterms:W3CDTF">2025-07-19T13:50:47Z</dcterms:created>
  <dcterms:modified xsi:type="dcterms:W3CDTF">2025-07-19T15:55:14Z</dcterms:modified>
</cp:coreProperties>
</file>